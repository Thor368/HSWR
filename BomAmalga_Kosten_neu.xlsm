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onas.krieger.AUKTORA\Desktop\Amalga100_in_HSWR_V2\"/>
    </mc:Choice>
  </mc:AlternateContent>
  <xr:revisionPtr revIDLastSave="0" documentId="13_ncr:1_{406FFD61-6E3A-4649-B3C7-6A621B80E3FC}" xr6:coauthVersionLast="43" xr6:coauthVersionMax="43" xr10:uidLastSave="{00000000-0000-0000-0000-000000000000}"/>
  <bookViews>
    <workbookView xWindow="-120" yWindow="-120" windowWidth="29040" windowHeight="15840" activeTab="1" xr2:uid="{7DCACAAA-47BF-405C-8527-FE0C41AE66CF}"/>
  </bookViews>
  <sheets>
    <sheet name="Bom mit Bestellnummern" sheetId="1" r:id="rId1"/>
    <sheet name="Warenkorb Digikey (200V 300A)" sheetId="2" r:id="rId2"/>
  </sheets>
  <definedNames>
    <definedName name="ExterneDaten_1" localSheetId="0" hidden="1">'Bom mit Bestellnummern'!$A$4:$F$78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7" i="1" l="1"/>
  <c r="I78" i="1"/>
  <c r="F3" i="2"/>
  <c r="I81" i="1" l="1"/>
  <c r="F55" i="2" l="1"/>
  <c r="F4" i="2"/>
  <c r="F5" i="2"/>
  <c r="F6" i="2"/>
  <c r="F7" i="2"/>
  <c r="F8" i="2"/>
  <c r="F9" i="2"/>
  <c r="F10" i="2"/>
  <c r="F11" i="2"/>
  <c r="F60" i="2"/>
  <c r="F61" i="2"/>
  <c r="F12" i="2"/>
  <c r="F13" i="2"/>
  <c r="F14" i="2"/>
  <c r="F15" i="2"/>
  <c r="F16" i="2"/>
  <c r="F17" i="2"/>
  <c r="F18" i="2"/>
  <c r="F19" i="2"/>
  <c r="F20" i="2"/>
  <c r="F21" i="2"/>
  <c r="F63" i="2"/>
  <c r="F22" i="2"/>
  <c r="F23" i="2"/>
  <c r="F24" i="2"/>
  <c r="F25" i="2"/>
  <c r="F26" i="2"/>
  <c r="F59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62" i="2"/>
  <c r="F41" i="2"/>
  <c r="F42" i="2"/>
  <c r="F43" i="2"/>
  <c r="F44" i="2"/>
  <c r="F45" i="2"/>
  <c r="F46" i="2"/>
  <c r="F47" i="2"/>
  <c r="F57" i="2"/>
  <c r="F58" i="2"/>
  <c r="F48" i="2"/>
  <c r="F49" i="2"/>
  <c r="F50" i="2"/>
  <c r="F51" i="2"/>
  <c r="F52" i="2"/>
  <c r="F53" i="2"/>
  <c r="F54" i="2"/>
  <c r="F2" i="2"/>
  <c r="I9" i="1" l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8" i="1" l="1"/>
  <c r="I7" i="1"/>
  <c r="I80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B361C1-AA49-4985-B00F-0CF65CCC1F5C}" keepAlive="1" name="Abfrage - Amalga_100 (3)" description="Verbindung mit der Abfrage 'Amalga_100 (3)' in der Arbeitsmappe." type="5" refreshedVersion="6" background="1" saveData="1">
    <dbPr connection="Provider=Microsoft.Mashup.OleDb.1;Data Source=$Workbook$;Location=&quot;Amalga_100 (3)&quot;;Extended Properties=&quot;&quot;" command="SELECT * FROM [Amalga_100 (3)]"/>
  </connection>
</connections>
</file>

<file path=xl/sharedStrings.xml><?xml version="1.0" encoding="utf-8"?>
<sst xmlns="http://schemas.openxmlformats.org/spreadsheetml/2006/main" count="714" uniqueCount="321">
  <si>
    <t/>
  </si>
  <si>
    <t>Crystal:Crystal_HC49-U_Vertical</t>
  </si>
  <si>
    <t>Crystal-Device</t>
  </si>
  <si>
    <t>1</t>
  </si>
  <si>
    <t xml:space="preserve">Y2, </t>
  </si>
  <si>
    <t>8MHz</t>
  </si>
  <si>
    <t xml:space="preserve">Y1, </t>
  </si>
  <si>
    <t>TO_SOT_Packages_SMD:SOT-143</t>
  </si>
  <si>
    <t>CAT811JTBI-GT3</t>
  </si>
  <si>
    <t>ADM811</t>
  </si>
  <si>
    <t xml:space="preserve">U11, </t>
  </si>
  <si>
    <t>Package_SO:SOIC-8_3.9x4.9mm_P1.27mm</t>
  </si>
  <si>
    <t>AD8397</t>
  </si>
  <si>
    <t xml:space="preserve">U10, </t>
  </si>
  <si>
    <t>IRS2186-Driver_FET</t>
  </si>
  <si>
    <t>IRS2186</t>
  </si>
  <si>
    <t>3</t>
  </si>
  <si>
    <t xml:space="preserve">U7, U8, U9, </t>
  </si>
  <si>
    <t>Package_QFP:LQFP-44_10x10mm_P0.8mm</t>
  </si>
  <si>
    <t>AD2S1205</t>
  </si>
  <si>
    <t xml:space="preserve">U6, </t>
  </si>
  <si>
    <t>Package_SO:SOIC-16W_7.5x10.3mm_P1.27mm</t>
  </si>
  <si>
    <t>ADUM3160</t>
  </si>
  <si>
    <t xml:space="preserve">U5, </t>
  </si>
  <si>
    <t>Package_TO_SOT_SMD:SOT-23-6</t>
  </si>
  <si>
    <t>2</t>
  </si>
  <si>
    <t xml:space="preserve">U3, U4, </t>
  </si>
  <si>
    <t>Converter_DCDC:Converter_DCDC_TRACO_TMR-1-xxxx_Single_THT</t>
  </si>
  <si>
    <t xml:space="preserve">U2, </t>
  </si>
  <si>
    <t>Package_QFP:LQFP-64_10x10mm_P0.5mm</t>
  </si>
  <si>
    <t>STM32F40X_LQFP64-HSWR-V2-rescue</t>
  </si>
  <si>
    <t>STM32F40X_LQFP64</t>
  </si>
  <si>
    <t xml:space="preserve">U1, </t>
  </si>
  <si>
    <t>Symbols:ESD-Logo_13.2x12mm_SilkScreen</t>
  </si>
  <si>
    <t>SYM_ESD_Small</t>
  </si>
  <si>
    <t xml:space="preserve">SYM1, </t>
  </si>
  <si>
    <t>Buttons_Switches_SMD:SW_DIP_x2_W5.08mm_Slide_Copal_CHS-A</t>
  </si>
  <si>
    <t>SW_DIP_x02</t>
  </si>
  <si>
    <t xml:space="preserve">SW1, </t>
  </si>
  <si>
    <t>Resistor_SMD:R_0805_2012Metric</t>
  </si>
  <si>
    <t>R_Small-Device</t>
  </si>
  <si>
    <t>25k 1%</t>
  </si>
  <si>
    <t xml:space="preserve">R68, R66, </t>
  </si>
  <si>
    <t>100k 1%</t>
  </si>
  <si>
    <t>1K24 1%</t>
  </si>
  <si>
    <t xml:space="preserve">R64, </t>
  </si>
  <si>
    <t>442R 1%</t>
  </si>
  <si>
    <t xml:space="preserve">R61, </t>
  </si>
  <si>
    <t>R-Device</t>
  </si>
  <si>
    <t>50k</t>
  </si>
  <si>
    <t>8</t>
  </si>
  <si>
    <t xml:space="preserve">R52, R60, R59, R51, R25, R50, R49, R46, </t>
  </si>
  <si>
    <t>eigene_mod:CSS3920</t>
  </si>
  <si>
    <t>CSS2H-3920R-L500</t>
  </si>
  <si>
    <t xml:space="preserve">R48, R47, R45, </t>
  </si>
  <si>
    <t xml:space="preserve">R44, </t>
  </si>
  <si>
    <t xml:space="preserve">R43, </t>
  </si>
  <si>
    <t xml:space="preserve">R42, </t>
  </si>
  <si>
    <t xml:space="preserve">R41, </t>
  </si>
  <si>
    <t>Resistor_SMD:R_1206_3216Metric</t>
  </si>
  <si>
    <t xml:space="preserve">R31, </t>
  </si>
  <si>
    <t>1R</t>
  </si>
  <si>
    <t>12</t>
  </si>
  <si>
    <t xml:space="preserve">R29, R23, R22, R17, R16, R14, R15, R20, R21, R27, R28, R26, </t>
  </si>
  <si>
    <t>68k</t>
  </si>
  <si>
    <t xml:space="preserve">R19, R24, </t>
  </si>
  <si>
    <t>7</t>
  </si>
  <si>
    <t xml:space="preserve">R18, R10, R32, R38, R37, R36, R77, </t>
  </si>
  <si>
    <t>Resistor_SMD:R_0603_1608Metric</t>
  </si>
  <si>
    <t>R-RESCUE-BLDC_4-HSWR-V2-rescue</t>
  </si>
  <si>
    <t>NTC 10k</t>
  </si>
  <si>
    <t xml:space="preserve">R9, </t>
  </si>
  <si>
    <t>3k3</t>
  </si>
  <si>
    <t>4</t>
  </si>
  <si>
    <t xml:space="preserve">R8, R54, R56, R58, </t>
  </si>
  <si>
    <t>220k</t>
  </si>
  <si>
    <t xml:space="preserve">R7, R53, R55, R57, </t>
  </si>
  <si>
    <t>120R</t>
  </si>
  <si>
    <t xml:space="preserve">R6, R5, R30, </t>
  </si>
  <si>
    <t>2k2</t>
  </si>
  <si>
    <t>5</t>
  </si>
  <si>
    <t xml:space="preserve">R3, R4, R33, R34, R35, </t>
  </si>
  <si>
    <t>22R</t>
  </si>
  <si>
    <t xml:space="preserve">R2, R1, R62, R63, </t>
  </si>
  <si>
    <t>eigene_mod:TO-264_flat_reverse_2</t>
  </si>
  <si>
    <t>Q_NMOS_GDS-Device</t>
  </si>
  <si>
    <t>IRFP4668PBF</t>
  </si>
  <si>
    <t xml:space="preserve">Q12, Q11, Q8, Q7, Q4, Q3, Q1, Q2, Q5, Q6, Q9, Q10, </t>
  </si>
  <si>
    <t>eigene_mod:redcube_250A_2</t>
  </si>
  <si>
    <t>CONN_1-HSWR-V2-rescue</t>
  </si>
  <si>
    <t>IN-</t>
  </si>
  <si>
    <t xml:space="preserve">P10, </t>
  </si>
  <si>
    <t>Connector_Phoenix_MC:PhoenixContact_MCV_1,5_6-G-3.5_1x06_P3.50mm_Vertical</t>
  </si>
  <si>
    <t>CONN_6-HSWR-V2-rescue</t>
  </si>
  <si>
    <t xml:space="preserve">P9, </t>
  </si>
  <si>
    <t>Connector_PinHeader_2.54mm:PinHeader_2x03_P2.54mm_Vertical</t>
  </si>
  <si>
    <t>SWD</t>
  </si>
  <si>
    <t xml:space="preserve">P8, </t>
  </si>
  <si>
    <t>Mounting_Holes:MountingHole_5mm_Pad_Via</t>
  </si>
  <si>
    <t>MOTOR1</t>
  </si>
  <si>
    <t xml:space="preserve">P7, </t>
  </si>
  <si>
    <t>MOTOR2</t>
  </si>
  <si>
    <t xml:space="preserve">P6, </t>
  </si>
  <si>
    <t>MOTOR3</t>
  </si>
  <si>
    <t xml:space="preserve">P5, </t>
  </si>
  <si>
    <t xml:space="preserve">P4, </t>
  </si>
  <si>
    <t>IN+</t>
  </si>
  <si>
    <t xml:space="preserve">P3, </t>
  </si>
  <si>
    <t>alexmod:XG4A_20_wo_56</t>
  </si>
  <si>
    <t>CONN_01X18_20-HSWR-V2-rescue</t>
  </si>
  <si>
    <t>Interface</t>
  </si>
  <si>
    <t xml:space="preserve">P2, </t>
  </si>
  <si>
    <t>Connector_USB:USB_B_TE_5787834_Vertical</t>
  </si>
  <si>
    <t>USB_B-RESCUE-HSWR_V2-HSWR-V2-rescue</t>
  </si>
  <si>
    <t>USB_B</t>
  </si>
  <si>
    <t xml:space="preserve">P1, </t>
  </si>
  <si>
    <t>NetTie:NetTie-2_SMD_Pad2.0mm</t>
  </si>
  <si>
    <t>Net-Tie_2-Device</t>
  </si>
  <si>
    <t>Net-Tie_2</t>
  </si>
  <si>
    <t xml:space="preserve">NT1, </t>
  </si>
  <si>
    <t>Mounting_Holes:MountingHole_3.2mm_M3_ISO14580</t>
  </si>
  <si>
    <t>MountingHole-Mechanical</t>
  </si>
  <si>
    <t>MountingHole</t>
  </si>
  <si>
    <t xml:space="preserve">MH8, MH5, MH6, MH7, MH10, MH3, MH4, MH9, </t>
  </si>
  <si>
    <t>Mounting_Holes:MountingHole_3.2mm_M3_ISO14580_Pad</t>
  </si>
  <si>
    <t xml:space="preserve">MH2, MH1, MH12, MH11, </t>
  </si>
  <si>
    <t>Inductors_SMD:L_Wuerth_MAPI-3020</t>
  </si>
  <si>
    <t>INDUCTOR-HSWR-V2-rescue</t>
  </si>
  <si>
    <t>4.7uH</t>
  </si>
  <si>
    <t xml:space="preserve">L1, L2, </t>
  </si>
  <si>
    <t>Jumper:SolderJumper-3_P1.3mm_Open_RoundedPad1.0x1.5mm_NumberLabels</t>
  </si>
  <si>
    <t>SolderJumper_3_Bridged12</t>
  </si>
  <si>
    <t xml:space="preserve">JP3, JP1, JP2, </t>
  </si>
  <si>
    <t>Package_SO:TSSOP-8_4.4x3mm_P0.65mm</t>
  </si>
  <si>
    <t>INA240-HSWR-V2-rescue</t>
  </si>
  <si>
    <t xml:space="preserve">IC5, IC4, IC3, </t>
  </si>
  <si>
    <t>ADM3052-HSWR-V2-rescue</t>
  </si>
  <si>
    <t>ADM3052</t>
  </si>
  <si>
    <t xml:space="preserve">IC1, </t>
  </si>
  <si>
    <t>Package_TO_SOT_SMD:TO-252-2_TabPin1</t>
  </si>
  <si>
    <t>D_Schottky-Device</t>
  </si>
  <si>
    <t>CDBDSC10650-G</t>
  </si>
  <si>
    <t xml:space="preserve">D10, D11, D12, D14, D15, D13, D5, D7, D8, D9, D16, D17, </t>
  </si>
  <si>
    <t>Diode_SMD:D_SMA</t>
  </si>
  <si>
    <t>D_Small-Device</t>
  </si>
  <si>
    <t xml:space="preserve">D6, D18, D19, </t>
  </si>
  <si>
    <t>LED_SMD:LED_0805_2012Metric</t>
  </si>
  <si>
    <t>LED-RESCUE-BLDC_4-HSWR-V2-rescue</t>
  </si>
  <si>
    <t>RED</t>
  </si>
  <si>
    <t xml:space="preserve">D4, </t>
  </si>
  <si>
    <t>GREEN</t>
  </si>
  <si>
    <t xml:space="preserve">D3, </t>
  </si>
  <si>
    <t>LED</t>
  </si>
  <si>
    <t xml:space="preserve">D2, </t>
  </si>
  <si>
    <t>Capacitor_SMD:C_0805_2012Metric</t>
  </si>
  <si>
    <t>C_Small-Device</t>
  </si>
  <si>
    <t>1uF</t>
  </si>
  <si>
    <t>Capacitor_Tantalum_SMD:CP_EIA-3216-12_Kemet-S</t>
  </si>
  <si>
    <t>CP1_Small-Device</t>
  </si>
  <si>
    <t>4.7uF</t>
  </si>
  <si>
    <t xml:space="preserve">C77, C74, </t>
  </si>
  <si>
    <t>20pF</t>
  </si>
  <si>
    <t xml:space="preserve">C76, C75, </t>
  </si>
  <si>
    <t>10nF</t>
  </si>
  <si>
    <t>10uF</t>
  </si>
  <si>
    <t xml:space="preserve">C71, </t>
  </si>
  <si>
    <t>Capacitor_SMD:C_2220_5650Metric</t>
  </si>
  <si>
    <t>C-Device</t>
  </si>
  <si>
    <t>1u 600V</t>
  </si>
  <si>
    <t>15</t>
  </si>
  <si>
    <t xml:space="preserve">C52, C54, C57, C58, C55, C56, C65, C66, C67, C49, C59, C60, C61, C78, C63, </t>
  </si>
  <si>
    <t>Capacitor_THT:CP_Radial_D35.0mm_P10.00mm_SnapIn</t>
  </si>
  <si>
    <t>CP-Device</t>
  </si>
  <si>
    <t>470u 600V</t>
  </si>
  <si>
    <t xml:space="preserve">C51, C53, C50, C34, </t>
  </si>
  <si>
    <t>2u2</t>
  </si>
  <si>
    <t xml:space="preserve">C47, C3, </t>
  </si>
  <si>
    <t>C-RESCUE-BLDC_4-HSWR-V2-rescue</t>
  </si>
  <si>
    <t xml:space="preserve">C41, C39, C62, C21, </t>
  </si>
  <si>
    <t>120pF</t>
  </si>
  <si>
    <t xml:space="preserve">C38, C40, </t>
  </si>
  <si>
    <t>100nF</t>
  </si>
  <si>
    <t>15p</t>
  </si>
  <si>
    <t xml:space="preserve">C17, C22, </t>
  </si>
  <si>
    <t>4n7</t>
  </si>
  <si>
    <t xml:space="preserve">C14, C15, C16, C13, </t>
  </si>
  <si>
    <t xml:space="preserve">C10, </t>
  </si>
  <si>
    <t>Vendor</t>
  </si>
  <si>
    <t>Footprint</t>
  </si>
  <si>
    <t>Cmp name</t>
  </si>
  <si>
    <t>Value</t>
  </si>
  <si>
    <t>Qnty</t>
  </si>
  <si>
    <t>Ref</t>
  </si>
  <si>
    <t>Column8</t>
  </si>
  <si>
    <t>Column7</t>
  </si>
  <si>
    <t>Column5</t>
  </si>
  <si>
    <t>Column4</t>
  </si>
  <si>
    <t>Column3</t>
  </si>
  <si>
    <t>Column2</t>
  </si>
  <si>
    <t>Column1</t>
  </si>
  <si>
    <t xml:space="preserve"> 	IXFK360N15T2-ND</t>
  </si>
  <si>
    <t>IXXK200N65B4-ND</t>
  </si>
  <si>
    <t>X</t>
  </si>
  <si>
    <t>445-7950-1-ND</t>
  </si>
  <si>
    <t>445-7110-1-ND</t>
  </si>
  <si>
    <t>493-2627-ND</t>
  </si>
  <si>
    <t>493-14693-ND</t>
  </si>
  <si>
    <t>Preis/Platine</t>
  </si>
  <si>
    <t>Preis/Stck</t>
  </si>
  <si>
    <t>Digikey Nummer</t>
  </si>
  <si>
    <t>Mosfet 150V</t>
  </si>
  <si>
    <t>IGBT 600V</t>
  </si>
  <si>
    <t>Unterschiedliche Bestückung 150V / 600V</t>
  </si>
  <si>
    <t>Zus. Komp. 1 x 600V</t>
  </si>
  <si>
    <t>Bauteile  1 x Platine komp</t>
  </si>
  <si>
    <t>641-1928-ND</t>
  </si>
  <si>
    <t>ADM3052BRWZ-REEL7CT-ND</t>
  </si>
  <si>
    <t>ADUM3160BRWZ-RLCT-ND</t>
  </si>
  <si>
    <t>IRS2186STRPBFCT-ND</t>
  </si>
  <si>
    <t>497-17432-1-ND</t>
  </si>
  <si>
    <t>AD2S1205WSTZ-ND</t>
  </si>
  <si>
    <t>ADM811LARTZ-REEL7CT-ND</t>
  </si>
  <si>
    <t>8.192 MHZ</t>
  </si>
  <si>
    <t>887-1262-ND</t>
  </si>
  <si>
    <t>ECS-080-20-4X-DU</t>
  </si>
  <si>
    <t>AD8397ARZ-REEL7DKR-ND</t>
  </si>
  <si>
    <t xml:space="preserve">490-10749-1-ND </t>
  </si>
  <si>
    <t>1276-1066-1-ND</t>
  </si>
  <si>
    <t xml:space="preserve">1276-2891-1-ND </t>
  </si>
  <si>
    <t>1276-2519-1-ND</t>
  </si>
  <si>
    <t>732-7815-1-ND</t>
  </si>
  <si>
    <t>1276-1090-1-ND</t>
  </si>
  <si>
    <t>311-4190-1-ND</t>
  </si>
  <si>
    <t>399-17422-1-ND</t>
  </si>
  <si>
    <t>1276-1162-6-ND</t>
  </si>
  <si>
    <t>1276-6456-1-ND</t>
  </si>
  <si>
    <t>1276-2434-1-ND</t>
  </si>
  <si>
    <t>s.r.</t>
  </si>
  <si>
    <t>311-4194-1-NDv</t>
  </si>
  <si>
    <t>478-11183-1-ND</t>
  </si>
  <si>
    <t>C9, C44, C43, C64, C28, C29, C30, C19, C18, C20, C23, C24, C25, C26, C42, C31, C32, C33,C80, C79</t>
  </si>
  <si>
    <t>22uF</t>
  </si>
  <si>
    <t>732-4984-1-ND</t>
  </si>
  <si>
    <t>732-4986-1-ND</t>
  </si>
  <si>
    <t>732-4982-1-ND</t>
  </si>
  <si>
    <t>1276-6218-1-ND</t>
  </si>
  <si>
    <t>952-1767-ND</t>
  </si>
  <si>
    <t>OR885-ND</t>
  </si>
  <si>
    <t>broaching stud m5</t>
  </si>
  <si>
    <t>732-5394-N</t>
  </si>
  <si>
    <t>277-5735-ND</t>
  </si>
  <si>
    <t>300R 750mw</t>
  </si>
  <si>
    <t>541-300UACT-ND</t>
  </si>
  <si>
    <t xml:space="preserve">A126437CT-ND </t>
  </si>
  <si>
    <t>A129545CT-ND</t>
  </si>
  <si>
    <t>RHM120KCT-ND</t>
  </si>
  <si>
    <t>RHM220KKCT-ND</t>
  </si>
  <si>
    <t>RHM68KKCT-ND</t>
  </si>
  <si>
    <t>A126440CT-ND</t>
  </si>
  <si>
    <t>490-18149-1-ND</t>
  </si>
  <si>
    <t>RNCP0805FTD10K0CT-ND</t>
  </si>
  <si>
    <t>10k 1%</t>
  </si>
  <si>
    <t>RNCP0805FTD1R00CT-ND</t>
  </si>
  <si>
    <t xml:space="preserve">CSS2H-3920R-L200FCT-ND </t>
  </si>
  <si>
    <t xml:space="preserve">764-1535-1-ND </t>
  </si>
  <si>
    <t xml:space="preserve">311-442CRCT-ND </t>
  </si>
  <si>
    <t xml:space="preserve">311-1.24KCRCT-ND </t>
  </si>
  <si>
    <t>A126415CT-ND</t>
  </si>
  <si>
    <t>A121556CT-ND</t>
  </si>
  <si>
    <t xml:space="preserve"> </t>
  </si>
  <si>
    <t>IXFK360N15T2-ND</t>
  </si>
  <si>
    <t>311-4194-1-ND</t>
  </si>
  <si>
    <t>732-5394-ND</t>
  </si>
  <si>
    <t>INA240AX</t>
  </si>
  <si>
    <t>?X</t>
  </si>
  <si>
    <t>AnZahl Platinen:</t>
  </si>
  <si>
    <t>563-1005-1-ND</t>
  </si>
  <si>
    <t>INA240Ax</t>
  </si>
  <si>
    <t>470u 600V/150V</t>
  </si>
  <si>
    <t>1u 600V/150V</t>
  </si>
  <si>
    <t>CSS2H-3920R-Lxxx</t>
  </si>
  <si>
    <t>BEIDE</t>
  </si>
  <si>
    <t>Digikey</t>
  </si>
  <si>
    <t>Bezeichnung</t>
  </si>
  <si>
    <t>CONN_6-HSWR-V2</t>
  </si>
  <si>
    <t>pro Platine</t>
  </si>
  <si>
    <t>brass spacer stud M5</t>
  </si>
  <si>
    <t>296-45090-1-ND</t>
  </si>
  <si>
    <t>732-10420-ND</t>
  </si>
  <si>
    <t>brass spacer m5</t>
  </si>
  <si>
    <t>ES1JAF</t>
  </si>
  <si>
    <t>ES1JAFCT-ND</t>
  </si>
  <si>
    <t>Diode</t>
  </si>
  <si>
    <t>1866-4851-ND</t>
  </si>
  <si>
    <t>1276-6687-1-ND</t>
  </si>
  <si>
    <t>C4,C5</t>
  </si>
  <si>
    <t xml:space="preserve">C8, C27, </t>
  </si>
  <si>
    <t>22uF,6.3V</t>
  </si>
  <si>
    <t>22uF, 6.3V</t>
  </si>
  <si>
    <t>C36, C37,C45, C46, C48, C1, C2, C11, C12,C68, C69, C35</t>
  </si>
  <si>
    <t>C72, C70, C73, C6, C7</t>
  </si>
  <si>
    <t>D1, D20,</t>
  </si>
  <si>
    <t>Schottky, 2A/30V</t>
  </si>
  <si>
    <t>MBR230LSFT1GOSCT-ND</t>
  </si>
  <si>
    <t>Bolzen</t>
  </si>
  <si>
    <t>XRP7659</t>
  </si>
  <si>
    <t>1016-1751-1-ND</t>
  </si>
  <si>
    <t>SPU02M-15</t>
  </si>
  <si>
    <t>296-45089-1-ND</t>
  </si>
  <si>
    <t>150V/300A</t>
  </si>
  <si>
    <t>600V/150</t>
  </si>
  <si>
    <t>9k09 1%</t>
  </si>
  <si>
    <t>47k 1%</t>
  </si>
  <si>
    <t>43k 1%</t>
  </si>
  <si>
    <t>14k 1%</t>
  </si>
  <si>
    <t>47k1 1%</t>
  </si>
  <si>
    <t>RHM47.0KAECT-ND</t>
  </si>
  <si>
    <t>P20703CT-ND</t>
  </si>
  <si>
    <t>P20779CT-ND</t>
  </si>
  <si>
    <t xml:space="preserve">P20723CT-ND </t>
  </si>
  <si>
    <t xml:space="preserve">R65, R67, R39,R40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</si>
</sst>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theme="9" tint="0.79998168889431442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0" xfId="0" applyNumberFormat="1"/>
    <xf numFmtId="0" fontId="2" fillId="0" borderId="0" xfId="0" applyNumberFormat="1" applyFont="1"/>
    <xf numFmtId="0" fontId="2" fillId="0" borderId="0" xfId="0" applyFo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1" fillId="2" borderId="0" xfId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2" fillId="3" borderId="0" xfId="0" applyFont="1" applyFill="1"/>
    <xf numFmtId="0" fontId="2" fillId="3" borderId="6" xfId="0" applyFont="1" applyFill="1" applyBorder="1"/>
    <xf numFmtId="0" fontId="2" fillId="3" borderId="6" xfId="0" applyNumberFormat="1" applyFont="1" applyFill="1" applyBorder="1"/>
    <xf numFmtId="0" fontId="0" fillId="0" borderId="0" xfId="0" applyAlignment="1">
      <alignment horizontal="left"/>
    </xf>
    <xf numFmtId="0" fontId="2" fillId="0" borderId="0" xfId="0" applyNumberFormat="1" applyFont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NumberFormat="1" applyBorder="1" applyAlignment="1">
      <alignment horizontal="left"/>
    </xf>
    <xf numFmtId="0" fontId="4" fillId="0" borderId="5" xfId="2" applyBorder="1" applyAlignment="1">
      <alignment horizontal="left"/>
    </xf>
    <xf numFmtId="0" fontId="0" fillId="0" borderId="0" xfId="0" applyFill="1"/>
    <xf numFmtId="0" fontId="0" fillId="0" borderId="5" xfId="0" applyNumberFormat="1" applyBorder="1" applyAlignment="1">
      <alignment horizontal="left" wrapText="1"/>
    </xf>
    <xf numFmtId="0" fontId="0" fillId="0" borderId="10" xfId="0" applyNumberFormat="1" applyFont="1" applyBorder="1" applyAlignment="1">
      <alignment horizontal="left"/>
    </xf>
    <xf numFmtId="0" fontId="0" fillId="0" borderId="5" xfId="0" quotePrefix="1" applyNumberFormat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6" xfId="0" applyNumberFormat="1" applyBorder="1"/>
    <xf numFmtId="0" fontId="0" fillId="0" borderId="6" xfId="0" applyBorder="1" applyAlignment="1">
      <alignment horizontal="left"/>
    </xf>
    <xf numFmtId="0" fontId="0" fillId="0" borderId="6" xfId="0" applyNumberFormat="1" applyBorder="1" applyAlignment="1">
      <alignment horizontal="left"/>
    </xf>
    <xf numFmtId="0" fontId="4" fillId="0" borderId="6" xfId="2" applyBorder="1" applyAlignment="1">
      <alignment horizontal="left"/>
    </xf>
    <xf numFmtId="0" fontId="0" fillId="0" borderId="6" xfId="0" applyBorder="1"/>
    <xf numFmtId="0" fontId="0" fillId="0" borderId="6" xfId="0" applyFill="1" applyBorder="1"/>
    <xf numFmtId="0" fontId="0" fillId="0" borderId="6" xfId="0" applyNumberFormat="1" applyBorder="1" applyAlignment="1">
      <alignment horizontal="left" wrapText="1"/>
    </xf>
    <xf numFmtId="0" fontId="0" fillId="0" borderId="6" xfId="0" applyNumberFormat="1" applyBorder="1" applyAlignment="1">
      <alignment horizontal="center" vertic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 vertical="center"/>
    </xf>
    <xf numFmtId="0" fontId="2" fillId="3" borderId="11" xfId="0" applyFont="1" applyFill="1" applyBorder="1"/>
    <xf numFmtId="0" fontId="0" fillId="5" borderId="6" xfId="0" applyFill="1" applyBorder="1" applyAlignment="1">
      <alignment horizontal="left"/>
    </xf>
    <xf numFmtId="0" fontId="0" fillId="5" borderId="6" xfId="0" applyNumberFormat="1" applyFill="1" applyBorder="1" applyAlignment="1">
      <alignment horizontal="left"/>
    </xf>
    <xf numFmtId="0" fontId="0" fillId="5" borderId="0" xfId="0" applyFill="1"/>
    <xf numFmtId="0" fontId="0" fillId="5" borderId="6" xfId="0" applyFill="1" applyBorder="1"/>
    <xf numFmtId="0" fontId="0" fillId="5" borderId="6" xfId="0" applyNumberFormat="1" applyFill="1" applyBorder="1" applyAlignment="1">
      <alignment horizontal="left" wrapText="1"/>
    </xf>
    <xf numFmtId="0" fontId="0" fillId="6" borderId="6" xfId="0" applyFill="1" applyBorder="1"/>
    <xf numFmtId="0" fontId="0" fillId="0" borderId="9" xfId="0" applyNumberFormat="1" applyBorder="1"/>
    <xf numFmtId="0" fontId="0" fillId="0" borderId="7" xfId="0" applyNumberForma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/>
    </xf>
    <xf numFmtId="0" fontId="0" fillId="0" borderId="13" xfId="0" applyNumberFormat="1" applyFill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4" xfId="0" quotePrefix="1" applyBorder="1" applyAlignment="1">
      <alignment vertical="center"/>
    </xf>
    <xf numFmtId="0" fontId="0" fillId="0" borderId="0" xfId="0" quotePrefix="1" applyBorder="1" applyAlignment="1">
      <alignment vertical="center"/>
    </xf>
    <xf numFmtId="0" fontId="0" fillId="0" borderId="13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5" xfId="0" applyFont="1" applyBorder="1"/>
    <xf numFmtId="0" fontId="0" fillId="0" borderId="0" xfId="0" applyFont="1" applyBorder="1"/>
    <xf numFmtId="0" fontId="0" fillId="0" borderId="4" xfId="0" applyFont="1" applyBorder="1"/>
    <xf numFmtId="0" fontId="0" fillId="0" borderId="0" xfId="0" applyNumberFormat="1" applyAlignment="1">
      <alignment horizontal="left" vertical="center"/>
    </xf>
    <xf numFmtId="0" fontId="0" fillId="7" borderId="6" xfId="0" applyNumberFormat="1" applyFont="1" applyFill="1" applyBorder="1"/>
    <xf numFmtId="0" fontId="6" fillId="0" borderId="0" xfId="0" applyFont="1"/>
    <xf numFmtId="0" fontId="0" fillId="5" borderId="22" xfId="0" applyNumberFormat="1" applyFill="1" applyBorder="1" applyAlignment="1">
      <alignment horizontal="left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Link" xfId="2" builtinId="8"/>
    <cellStyle name="Schlecht" xfId="1" builtinId="27"/>
    <cellStyle name="Standard" xfId="0" builtinId="0"/>
  </cellStyles>
  <dxfs count="7"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19050</xdr:rowOff>
        </xdr:from>
        <xdr:to>
          <xdr:col>3</xdr:col>
          <xdr:colOff>1019175</xdr:colOff>
          <xdr:row>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19050</xdr:rowOff>
        </xdr:from>
        <xdr:to>
          <xdr:col>4</xdr:col>
          <xdr:colOff>733425</xdr:colOff>
          <xdr:row>3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8BEF8795-1FC1-47D1-B9C7-ABF18DC18920}" autoFormatId="16" applyNumberFormats="0" applyBorderFormats="0" applyFontFormats="0" applyPatternFormats="0" applyAlignmentFormats="0" applyWidthHeightFormats="0">
  <queryTableRefresh nextId="9" unboundColumnsRight="1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7" name="Column7" tableColumnId="7"/>
      <queryTableField id="8" dataBound="0" tableColumnId="8"/>
    </queryTableFields>
    <queryTableDeletedFields count="1">
      <deletedField name="Column6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1272C9-3FA8-4B98-8538-B47E74CBD770}" name="Amalga_100__3" displayName="Amalga_100__3" ref="A4:G78" tableType="queryTable" totalsRowShown="0">
  <autoFilter ref="A4:G78" xr:uid="{C8D9315B-2DFA-4874-83EA-7E43DD64C77C}"/>
  <tableColumns count="7">
    <tableColumn id="1" xr3:uid="{481366C9-4ABA-43BD-B147-783E99F40D1F}" uniqueName="1" name="Column1" queryTableFieldId="1" dataDxfId="6"/>
    <tableColumn id="2" xr3:uid="{63A04B52-8FCE-41FA-BE2F-B81402F54A01}" uniqueName="2" name="Column2" queryTableFieldId="2" dataDxfId="5"/>
    <tableColumn id="3" xr3:uid="{D208EF92-E753-4F03-9DA2-C0BFB882E5FB}" uniqueName="3" name="Column3" queryTableFieldId="3" dataDxfId="4"/>
    <tableColumn id="4" xr3:uid="{79344533-9A9D-475E-A3F6-5074CAB70F49}" uniqueName="4" name="Column4" queryTableFieldId="4" dataDxfId="3"/>
    <tableColumn id="5" xr3:uid="{3DE15AE0-ACDA-4546-B690-AEED2F5B50B6}" uniqueName="5" name="Column5" queryTableFieldId="5" dataDxfId="2"/>
    <tableColumn id="7" xr3:uid="{22B282A5-9EC5-41E9-B7DE-08518A08A022}" uniqueName="7" name="Column7" queryTableFieldId="7" dataDxfId="1"/>
    <tableColumn id="8" xr3:uid="{652CF875-CB17-4313-95C8-6222EC900F10}" uniqueName="8" name="Column8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7BD8-6C28-4D95-A1AF-FED2325633B3}">
  <sheetPr codeName="Tabelle1"/>
  <dimension ref="A1:N81"/>
  <sheetViews>
    <sheetView topLeftCell="A7" zoomScale="85" zoomScaleNormal="85" workbookViewId="0">
      <selection activeCell="F68" sqref="F68"/>
    </sheetView>
  </sheetViews>
  <sheetFormatPr baseColWidth="10" defaultRowHeight="15" x14ac:dyDescent="0.25"/>
  <cols>
    <col min="1" max="1" width="64.5703125" bestFit="1" customWidth="1"/>
    <col min="2" max="2" width="11.5703125" customWidth="1"/>
    <col min="3" max="3" width="25.42578125" bestFit="1" customWidth="1"/>
    <col min="4" max="4" width="12.28515625" customWidth="1"/>
    <col min="5" max="5" width="36.140625" customWidth="1"/>
    <col min="6" max="6" width="28.7109375" style="18" customWidth="1"/>
    <col min="8" max="8" width="26.28515625" customWidth="1"/>
    <col min="10" max="10" width="11.42578125" style="5"/>
    <col min="11" max="11" width="27.7109375" customWidth="1"/>
    <col min="12" max="12" width="10.140625" customWidth="1"/>
    <col min="13" max="13" width="30" customWidth="1"/>
    <col min="14" max="14" width="9.7109375" customWidth="1"/>
  </cols>
  <sheetData>
    <row r="1" spans="1:14" ht="15.75" x14ac:dyDescent="0.25">
      <c r="J1" s="51"/>
      <c r="K1" s="74" t="s">
        <v>212</v>
      </c>
      <c r="L1" s="75"/>
      <c r="M1" s="75"/>
      <c r="N1" s="76"/>
    </row>
    <row r="2" spans="1:14" s="3" customFormat="1" x14ac:dyDescent="0.25">
      <c r="A2"/>
      <c r="B2"/>
      <c r="C2"/>
      <c r="D2"/>
      <c r="E2"/>
      <c r="F2" s="18"/>
      <c r="G2"/>
      <c r="H2"/>
      <c r="I2"/>
      <c r="J2" s="51"/>
      <c r="K2" s="77" t="s">
        <v>211</v>
      </c>
      <c r="L2" s="78"/>
      <c r="M2" s="77" t="s">
        <v>210</v>
      </c>
      <c r="N2" s="78"/>
    </row>
    <row r="3" spans="1:14" x14ac:dyDescent="0.25">
      <c r="J3" s="51"/>
      <c r="K3" s="17" t="s">
        <v>209</v>
      </c>
      <c r="L3" s="16" t="s">
        <v>208</v>
      </c>
      <c r="M3" s="17" t="s">
        <v>209</v>
      </c>
      <c r="N3" s="16" t="s">
        <v>208</v>
      </c>
    </row>
    <row r="4" spans="1:14" x14ac:dyDescent="0.25">
      <c r="A4" t="s">
        <v>199</v>
      </c>
      <c r="B4" t="s">
        <v>198</v>
      </c>
      <c r="C4" t="s">
        <v>197</v>
      </c>
      <c r="D4" t="s">
        <v>196</v>
      </c>
      <c r="E4" t="s">
        <v>195</v>
      </c>
      <c r="F4" s="18" t="s">
        <v>194</v>
      </c>
      <c r="G4" t="s">
        <v>193</v>
      </c>
      <c r="I4" s="15" t="s">
        <v>207</v>
      </c>
      <c r="J4" s="51"/>
      <c r="K4" s="56"/>
      <c r="L4" s="57"/>
      <c r="M4" s="57"/>
      <c r="N4" s="58"/>
    </row>
    <row r="5" spans="1:14" x14ac:dyDescent="0.25">
      <c r="A5" s="2" t="s">
        <v>192</v>
      </c>
      <c r="B5" s="2" t="s">
        <v>191</v>
      </c>
      <c r="C5" s="2" t="s">
        <v>190</v>
      </c>
      <c r="D5" s="2" t="s">
        <v>189</v>
      </c>
      <c r="E5" s="2" t="s">
        <v>188</v>
      </c>
      <c r="F5" s="19" t="s">
        <v>187</v>
      </c>
      <c r="G5" s="2"/>
      <c r="J5" s="51"/>
      <c r="K5" s="11"/>
      <c r="L5" s="10"/>
      <c r="M5" s="10"/>
      <c r="N5" s="9"/>
    </row>
    <row r="6" spans="1:14" s="65" customFormat="1" x14ac:dyDescent="0.25">
      <c r="A6" s="1" t="s">
        <v>296</v>
      </c>
      <c r="B6" s="64">
        <v>2</v>
      </c>
      <c r="C6" s="63" t="s">
        <v>297</v>
      </c>
      <c r="D6" s="63" t="s">
        <v>167</v>
      </c>
      <c r="E6" s="63" t="s">
        <v>154</v>
      </c>
      <c r="F6" s="64" t="s">
        <v>294</v>
      </c>
      <c r="G6" s="63"/>
      <c r="J6" s="66"/>
      <c r="K6" s="67"/>
      <c r="L6" s="68"/>
      <c r="M6" s="68"/>
      <c r="N6" s="69"/>
    </row>
    <row r="7" spans="1:14" x14ac:dyDescent="0.25">
      <c r="A7" t="s">
        <v>295</v>
      </c>
      <c r="B7" s="4">
        <v>2</v>
      </c>
      <c r="C7" s="1" t="s">
        <v>241</v>
      </c>
      <c r="D7" s="1" t="s">
        <v>167</v>
      </c>
      <c r="E7" s="1" t="s">
        <v>154</v>
      </c>
      <c r="F7" s="20" t="s">
        <v>226</v>
      </c>
      <c r="G7" s="1"/>
      <c r="I7">
        <f>B7*G7</f>
        <v>0</v>
      </c>
      <c r="J7" s="51"/>
      <c r="K7" s="11"/>
      <c r="L7" s="10"/>
      <c r="M7" s="10"/>
      <c r="N7" s="9"/>
    </row>
    <row r="8" spans="1:14" x14ac:dyDescent="0.25">
      <c r="A8" s="1" t="s">
        <v>240</v>
      </c>
      <c r="B8" s="4">
        <v>20</v>
      </c>
      <c r="C8" s="1" t="s">
        <v>156</v>
      </c>
      <c r="D8" s="1" t="s">
        <v>177</v>
      </c>
      <c r="E8" s="1" t="s">
        <v>154</v>
      </c>
      <c r="F8" s="21" t="s">
        <v>227</v>
      </c>
      <c r="G8" s="1"/>
      <c r="I8">
        <f>B8*G8</f>
        <v>0</v>
      </c>
      <c r="J8" s="51"/>
      <c r="K8" s="11"/>
      <c r="L8" s="10"/>
      <c r="M8" s="10"/>
      <c r="N8" s="9"/>
    </row>
    <row r="9" spans="1:14" x14ac:dyDescent="0.25">
      <c r="A9" s="1" t="s">
        <v>186</v>
      </c>
      <c r="B9" s="1" t="s">
        <v>3</v>
      </c>
      <c r="C9" s="1" t="s">
        <v>164</v>
      </c>
      <c r="D9" s="1" t="s">
        <v>155</v>
      </c>
      <c r="E9" s="1" t="s">
        <v>154</v>
      </c>
      <c r="F9" s="21" t="s">
        <v>228</v>
      </c>
      <c r="G9" s="1">
        <v>0.22</v>
      </c>
      <c r="I9">
        <f t="shared" ref="I9:I70" si="0">B9*G9</f>
        <v>0.22</v>
      </c>
      <c r="J9" s="51"/>
      <c r="K9" s="11"/>
      <c r="L9" s="10"/>
      <c r="M9" s="10"/>
      <c r="N9" s="9"/>
    </row>
    <row r="10" spans="1:14" x14ac:dyDescent="0.25">
      <c r="A10" s="1" t="s">
        <v>185</v>
      </c>
      <c r="B10" s="1" t="s">
        <v>73</v>
      </c>
      <c r="C10" s="1" t="s">
        <v>184</v>
      </c>
      <c r="D10" s="1" t="s">
        <v>177</v>
      </c>
      <c r="E10" s="1" t="s">
        <v>154</v>
      </c>
      <c r="F10" s="22" t="s">
        <v>229</v>
      </c>
      <c r="G10" s="1"/>
      <c r="I10">
        <f t="shared" si="0"/>
        <v>0</v>
      </c>
      <c r="J10" s="51"/>
      <c r="K10" s="11"/>
      <c r="L10" s="10"/>
      <c r="M10" s="10"/>
      <c r="N10" s="9"/>
    </row>
    <row r="11" spans="1:14" x14ac:dyDescent="0.25">
      <c r="A11" s="1" t="s">
        <v>183</v>
      </c>
      <c r="B11" s="1" t="s">
        <v>25</v>
      </c>
      <c r="C11" s="1" t="s">
        <v>182</v>
      </c>
      <c r="D11" s="1" t="s">
        <v>177</v>
      </c>
      <c r="E11" s="1" t="s">
        <v>154</v>
      </c>
      <c r="F11" s="21" t="s">
        <v>230</v>
      </c>
      <c r="G11" s="1">
        <v>3.6999999999999998E-2</v>
      </c>
      <c r="I11">
        <f t="shared" si="0"/>
        <v>7.3999999999999996E-2</v>
      </c>
      <c r="J11" s="51"/>
      <c r="K11" s="11"/>
      <c r="L11" s="10"/>
      <c r="M11" s="10"/>
      <c r="N11" s="9"/>
    </row>
    <row r="12" spans="1:14" x14ac:dyDescent="0.25">
      <c r="A12" s="1" t="s">
        <v>299</v>
      </c>
      <c r="B12" s="4">
        <v>12</v>
      </c>
      <c r="C12" s="1" t="s">
        <v>181</v>
      </c>
      <c r="D12" s="1" t="s">
        <v>155</v>
      </c>
      <c r="E12" s="1" t="s">
        <v>154</v>
      </c>
      <c r="F12" s="21" t="s">
        <v>231</v>
      </c>
      <c r="G12" s="1">
        <v>0.04</v>
      </c>
      <c r="I12">
        <f t="shared" si="0"/>
        <v>0.48</v>
      </c>
      <c r="J12" s="51"/>
      <c r="K12" s="11"/>
      <c r="L12" s="14"/>
      <c r="M12" s="10"/>
      <c r="N12" s="13"/>
    </row>
    <row r="13" spans="1:14" x14ac:dyDescent="0.25">
      <c r="A13" s="1" t="s">
        <v>180</v>
      </c>
      <c r="B13" s="1" t="s">
        <v>25</v>
      </c>
      <c r="C13" s="1" t="s">
        <v>179</v>
      </c>
      <c r="D13" s="1" t="s">
        <v>155</v>
      </c>
      <c r="E13" s="1" t="s">
        <v>154</v>
      </c>
      <c r="F13" s="21" t="s">
        <v>232</v>
      </c>
      <c r="G13" s="1"/>
      <c r="I13">
        <f t="shared" si="0"/>
        <v>0</v>
      </c>
      <c r="J13" s="51"/>
      <c r="K13" s="11"/>
      <c r="L13" s="10"/>
      <c r="M13" s="10"/>
      <c r="N13" s="9"/>
    </row>
    <row r="14" spans="1:14" x14ac:dyDescent="0.25">
      <c r="A14" s="1" t="s">
        <v>178</v>
      </c>
      <c r="B14" s="1" t="s">
        <v>73</v>
      </c>
      <c r="C14" s="1" t="s">
        <v>163</v>
      </c>
      <c r="D14" s="1" t="s">
        <v>177</v>
      </c>
      <c r="E14" s="1" t="s">
        <v>154</v>
      </c>
      <c r="F14" s="21" t="s">
        <v>233</v>
      </c>
      <c r="G14" s="1"/>
      <c r="I14">
        <f t="shared" si="0"/>
        <v>0</v>
      </c>
      <c r="J14" s="51"/>
      <c r="K14" s="11"/>
      <c r="L14" s="10"/>
      <c r="M14" s="10"/>
      <c r="N14" s="9"/>
    </row>
    <row r="15" spans="1:14" x14ac:dyDescent="0.25">
      <c r="A15" s="1" t="s">
        <v>176</v>
      </c>
      <c r="B15" s="1" t="s">
        <v>25</v>
      </c>
      <c r="C15" s="1" t="s">
        <v>175</v>
      </c>
      <c r="D15" s="1" t="s">
        <v>167</v>
      </c>
      <c r="E15" s="1" t="s">
        <v>154</v>
      </c>
      <c r="F15" s="21" t="s">
        <v>234</v>
      </c>
      <c r="G15" s="1">
        <v>0.12</v>
      </c>
      <c r="I15">
        <f t="shared" si="0"/>
        <v>0.24</v>
      </c>
      <c r="J15" s="51"/>
      <c r="K15" s="11"/>
      <c r="L15" s="10"/>
      <c r="M15" s="10"/>
      <c r="N15" s="9"/>
    </row>
    <row r="16" spans="1:14" x14ac:dyDescent="0.25">
      <c r="A16" s="1" t="s">
        <v>174</v>
      </c>
      <c r="B16" s="1" t="s">
        <v>73</v>
      </c>
      <c r="C16" s="1" t="s">
        <v>173</v>
      </c>
      <c r="D16" s="1" t="s">
        <v>172</v>
      </c>
      <c r="E16" s="1" t="s">
        <v>171</v>
      </c>
      <c r="F16" s="21" t="s">
        <v>237</v>
      </c>
      <c r="G16" s="1"/>
      <c r="I16">
        <f t="shared" si="0"/>
        <v>0</v>
      </c>
      <c r="J16" s="51" t="s">
        <v>202</v>
      </c>
      <c r="K16" s="11" t="s">
        <v>206</v>
      </c>
      <c r="L16" s="14">
        <v>8.8000000000000007</v>
      </c>
      <c r="M16" s="10" t="s">
        <v>205</v>
      </c>
      <c r="N16" s="13">
        <v>2.4</v>
      </c>
    </row>
    <row r="17" spans="1:14" x14ac:dyDescent="0.25">
      <c r="A17" s="1" t="s">
        <v>170</v>
      </c>
      <c r="B17" s="1" t="s">
        <v>169</v>
      </c>
      <c r="C17" s="1" t="s">
        <v>168</v>
      </c>
      <c r="D17" s="1" t="s">
        <v>167</v>
      </c>
      <c r="E17" s="1" t="s">
        <v>166</v>
      </c>
      <c r="F17" s="21" t="s">
        <v>237</v>
      </c>
      <c r="G17" s="1">
        <v>4.32</v>
      </c>
      <c r="I17">
        <f t="shared" si="0"/>
        <v>64.800000000000011</v>
      </c>
      <c r="J17" s="51" t="s">
        <v>202</v>
      </c>
      <c r="K17" s="11" t="s">
        <v>204</v>
      </c>
      <c r="L17" s="14">
        <v>3.9</v>
      </c>
      <c r="M17" s="10" t="s">
        <v>203</v>
      </c>
      <c r="N17" s="13">
        <v>3</v>
      </c>
    </row>
    <row r="18" spans="1:14" x14ac:dyDescent="0.25">
      <c r="A18" s="1" t="s">
        <v>165</v>
      </c>
      <c r="B18" s="1" t="s">
        <v>3</v>
      </c>
      <c r="C18" s="1" t="s">
        <v>164</v>
      </c>
      <c r="D18" s="1" t="s">
        <v>155</v>
      </c>
      <c r="E18" s="1" t="s">
        <v>154</v>
      </c>
      <c r="F18" s="21" t="s">
        <v>235</v>
      </c>
      <c r="G18" s="1">
        <v>0.18</v>
      </c>
      <c r="I18">
        <f t="shared" si="0"/>
        <v>0.18</v>
      </c>
      <c r="J18" s="51"/>
      <c r="K18" s="11"/>
      <c r="L18" s="10"/>
      <c r="M18" s="10"/>
      <c r="N18" s="9"/>
    </row>
    <row r="19" spans="1:14" x14ac:dyDescent="0.25">
      <c r="A19" s="1" t="s">
        <v>300</v>
      </c>
      <c r="B19" s="4">
        <v>5</v>
      </c>
      <c r="C19" s="1" t="s">
        <v>163</v>
      </c>
      <c r="D19" s="1" t="s">
        <v>155</v>
      </c>
      <c r="E19" s="1" t="s">
        <v>154</v>
      </c>
      <c r="F19" s="21" t="s">
        <v>236</v>
      </c>
      <c r="G19" s="1"/>
      <c r="I19">
        <f t="shared" si="0"/>
        <v>0</v>
      </c>
      <c r="J19" s="51"/>
      <c r="K19" s="11"/>
      <c r="L19" s="10"/>
      <c r="M19" s="10"/>
      <c r="N19" s="9"/>
    </row>
    <row r="20" spans="1:14" x14ac:dyDescent="0.25">
      <c r="A20" s="1" t="s">
        <v>162</v>
      </c>
      <c r="B20" s="1" t="s">
        <v>25</v>
      </c>
      <c r="C20" s="1" t="s">
        <v>161</v>
      </c>
      <c r="D20" s="1" t="s">
        <v>155</v>
      </c>
      <c r="E20" s="1" t="s">
        <v>154</v>
      </c>
      <c r="F20" s="21" t="s">
        <v>238</v>
      </c>
      <c r="G20" s="1">
        <v>0.09</v>
      </c>
      <c r="I20">
        <f t="shared" si="0"/>
        <v>0.18</v>
      </c>
      <c r="J20" s="51"/>
      <c r="K20" s="11"/>
      <c r="L20" s="10"/>
      <c r="M20" s="10"/>
      <c r="N20" s="9"/>
    </row>
    <row r="21" spans="1:14" x14ac:dyDescent="0.25">
      <c r="A21" s="1" t="s">
        <v>160</v>
      </c>
      <c r="B21" s="1" t="s">
        <v>25</v>
      </c>
      <c r="C21" s="1" t="s">
        <v>159</v>
      </c>
      <c r="D21" s="1" t="s">
        <v>158</v>
      </c>
      <c r="E21" s="1" t="s">
        <v>157</v>
      </c>
      <c r="F21" s="21" t="s">
        <v>239</v>
      </c>
      <c r="G21" s="1">
        <v>0.2</v>
      </c>
      <c r="I21">
        <f t="shared" si="0"/>
        <v>0.4</v>
      </c>
      <c r="J21" s="51"/>
      <c r="K21" s="11"/>
      <c r="L21" s="10"/>
      <c r="M21" s="10"/>
      <c r="N21" s="9"/>
    </row>
    <row r="22" spans="1:14" x14ac:dyDescent="0.25">
      <c r="A22" s="1" t="s">
        <v>153</v>
      </c>
      <c r="B22" s="1" t="s">
        <v>3</v>
      </c>
      <c r="C22" s="1" t="s">
        <v>152</v>
      </c>
      <c r="D22" s="1" t="s">
        <v>147</v>
      </c>
      <c r="E22" s="1" t="s">
        <v>146</v>
      </c>
      <c r="F22" s="21" t="s">
        <v>244</v>
      </c>
      <c r="G22" s="1"/>
      <c r="I22">
        <f t="shared" si="0"/>
        <v>0</v>
      </c>
      <c r="J22" s="51"/>
      <c r="K22" s="11"/>
      <c r="L22" s="10"/>
      <c r="M22" s="10"/>
      <c r="N22" s="9"/>
    </row>
    <row r="23" spans="1:14" x14ac:dyDescent="0.25">
      <c r="A23" s="1" t="s">
        <v>151</v>
      </c>
      <c r="B23" s="1" t="s">
        <v>3</v>
      </c>
      <c r="C23" s="1" t="s">
        <v>150</v>
      </c>
      <c r="D23" s="1" t="s">
        <v>147</v>
      </c>
      <c r="E23" s="1" t="s">
        <v>146</v>
      </c>
      <c r="F23" s="21" t="s">
        <v>243</v>
      </c>
      <c r="G23" s="1"/>
      <c r="I23">
        <f t="shared" si="0"/>
        <v>0</v>
      </c>
      <c r="J23" s="51"/>
      <c r="K23" s="11"/>
      <c r="L23" s="10"/>
      <c r="M23" s="10"/>
      <c r="N23" s="9"/>
    </row>
    <row r="24" spans="1:14" x14ac:dyDescent="0.25">
      <c r="A24" s="1" t="s">
        <v>149</v>
      </c>
      <c r="B24" s="1" t="s">
        <v>3</v>
      </c>
      <c r="C24" s="1" t="s">
        <v>148</v>
      </c>
      <c r="D24" s="1" t="s">
        <v>147</v>
      </c>
      <c r="E24" s="1" t="s">
        <v>146</v>
      </c>
      <c r="F24" s="21" t="s">
        <v>242</v>
      </c>
      <c r="G24" s="1"/>
      <c r="I24">
        <f t="shared" si="0"/>
        <v>0</v>
      </c>
      <c r="J24" s="51"/>
      <c r="K24" s="11"/>
      <c r="L24" s="10"/>
      <c r="M24" s="10"/>
      <c r="N24" s="9"/>
    </row>
    <row r="25" spans="1:14" x14ac:dyDescent="0.25">
      <c r="A25" s="1" t="s">
        <v>145</v>
      </c>
      <c r="B25" s="1" t="s">
        <v>16</v>
      </c>
      <c r="C25" s="1" t="s">
        <v>290</v>
      </c>
      <c r="D25" s="1" t="s">
        <v>144</v>
      </c>
      <c r="E25" s="1" t="s">
        <v>143</v>
      </c>
      <c r="F25" s="20" t="s">
        <v>291</v>
      </c>
      <c r="G25" s="1">
        <v>0.4</v>
      </c>
      <c r="I25">
        <f t="shared" si="0"/>
        <v>1.2000000000000002</v>
      </c>
      <c r="J25" s="51"/>
      <c r="K25" s="11"/>
      <c r="L25" s="10"/>
      <c r="M25" s="10"/>
      <c r="N25" s="9"/>
    </row>
    <row r="26" spans="1:14" x14ac:dyDescent="0.25">
      <c r="A26" s="1" t="s">
        <v>142</v>
      </c>
      <c r="B26" s="1" t="s">
        <v>62</v>
      </c>
      <c r="C26" s="1" t="s">
        <v>141</v>
      </c>
      <c r="D26" s="1" t="s">
        <v>140</v>
      </c>
      <c r="E26" s="1" t="s">
        <v>139</v>
      </c>
      <c r="F26" s="21" t="s">
        <v>215</v>
      </c>
      <c r="G26" s="1">
        <v>3.73</v>
      </c>
      <c r="I26">
        <f t="shared" si="0"/>
        <v>44.76</v>
      </c>
      <c r="J26" s="51"/>
      <c r="K26" s="11"/>
      <c r="L26" s="10"/>
      <c r="M26" s="10"/>
      <c r="N26" s="9"/>
    </row>
    <row r="27" spans="1:14" x14ac:dyDescent="0.25">
      <c r="A27" s="1" t="s">
        <v>138</v>
      </c>
      <c r="B27" s="1" t="s">
        <v>3</v>
      </c>
      <c r="C27" s="1" t="s">
        <v>137</v>
      </c>
      <c r="D27" s="1" t="s">
        <v>136</v>
      </c>
      <c r="E27" s="1" t="s">
        <v>21</v>
      </c>
      <c r="F27" s="21" t="s">
        <v>216</v>
      </c>
      <c r="G27" s="1">
        <v>7.86</v>
      </c>
      <c r="I27">
        <f t="shared" si="0"/>
        <v>7.86</v>
      </c>
      <c r="J27" s="51"/>
      <c r="K27" s="11"/>
      <c r="L27" s="10"/>
      <c r="M27" s="10"/>
      <c r="N27" s="9"/>
    </row>
    <row r="28" spans="1:14" x14ac:dyDescent="0.25">
      <c r="A28" s="1" t="s">
        <v>135</v>
      </c>
      <c r="B28" s="1" t="s">
        <v>16</v>
      </c>
      <c r="C28" s="1" t="s">
        <v>273</v>
      </c>
      <c r="D28" s="1" t="s">
        <v>134</v>
      </c>
      <c r="E28" s="1" t="s">
        <v>133</v>
      </c>
      <c r="F28" s="21" t="s">
        <v>237</v>
      </c>
      <c r="G28" s="1">
        <v>2.65</v>
      </c>
      <c r="I28">
        <f t="shared" si="0"/>
        <v>7.9499999999999993</v>
      </c>
      <c r="J28" s="51" t="s">
        <v>202</v>
      </c>
      <c r="K28" s="11" t="s">
        <v>287</v>
      </c>
      <c r="L28" s="10"/>
      <c r="M28" s="10" t="s">
        <v>274</v>
      </c>
      <c r="N28" s="9"/>
    </row>
    <row r="29" spans="1:14" x14ac:dyDescent="0.25">
      <c r="A29" s="1" t="s">
        <v>132</v>
      </c>
      <c r="B29" s="1" t="s">
        <v>16</v>
      </c>
      <c r="C29" s="1" t="s">
        <v>131</v>
      </c>
      <c r="D29" s="1" t="s">
        <v>131</v>
      </c>
      <c r="E29" s="1" t="s">
        <v>130</v>
      </c>
      <c r="F29" s="26" t="s">
        <v>269</v>
      </c>
      <c r="G29" s="1"/>
      <c r="I29">
        <f t="shared" si="0"/>
        <v>0</v>
      </c>
      <c r="J29" s="51"/>
      <c r="K29" s="11"/>
      <c r="L29" s="10"/>
      <c r="M29" s="10"/>
      <c r="N29" s="9"/>
    </row>
    <row r="30" spans="1:14" x14ac:dyDescent="0.25">
      <c r="A30" s="1" t="s">
        <v>129</v>
      </c>
      <c r="B30" s="1" t="s">
        <v>25</v>
      </c>
      <c r="C30" s="1" t="s">
        <v>128</v>
      </c>
      <c r="D30" s="1" t="s">
        <v>127</v>
      </c>
      <c r="E30" s="1" t="s">
        <v>126</v>
      </c>
      <c r="F30" s="11" t="s">
        <v>245</v>
      </c>
      <c r="G30" s="1">
        <v>0.25</v>
      </c>
      <c r="I30">
        <f t="shared" si="0"/>
        <v>0.5</v>
      </c>
      <c r="J30" s="51"/>
      <c r="K30" s="11"/>
      <c r="L30" s="10"/>
      <c r="M30" s="10"/>
      <c r="N30" s="9"/>
    </row>
    <row r="31" spans="1:14" x14ac:dyDescent="0.25">
      <c r="A31" s="1" t="s">
        <v>125</v>
      </c>
      <c r="B31" s="1" t="s">
        <v>73</v>
      </c>
      <c r="C31" s="1" t="s">
        <v>122</v>
      </c>
      <c r="D31" s="1" t="s">
        <v>121</v>
      </c>
      <c r="E31" s="1" t="s">
        <v>124</v>
      </c>
      <c r="F31" s="21" t="s">
        <v>0</v>
      </c>
      <c r="G31" s="1"/>
      <c r="I31">
        <f t="shared" si="0"/>
        <v>0</v>
      </c>
      <c r="J31" s="51"/>
      <c r="K31" s="11"/>
      <c r="L31" s="10"/>
      <c r="M31" s="10"/>
      <c r="N31" s="9"/>
    </row>
    <row r="32" spans="1:14" x14ac:dyDescent="0.25">
      <c r="A32" s="1" t="s">
        <v>123</v>
      </c>
      <c r="B32" s="1" t="s">
        <v>50</v>
      </c>
      <c r="C32" s="1" t="s">
        <v>122</v>
      </c>
      <c r="D32" s="1" t="s">
        <v>121</v>
      </c>
      <c r="E32" s="1" t="s">
        <v>120</v>
      </c>
      <c r="F32" s="21" t="s">
        <v>0</v>
      </c>
      <c r="G32" s="1"/>
      <c r="I32">
        <f t="shared" si="0"/>
        <v>0</v>
      </c>
      <c r="J32" s="51"/>
      <c r="K32" s="11"/>
      <c r="L32" s="10"/>
      <c r="M32" s="10"/>
      <c r="N32" s="9"/>
    </row>
    <row r="33" spans="1:14" x14ac:dyDescent="0.25">
      <c r="A33" s="1" t="s">
        <v>119</v>
      </c>
      <c r="B33" s="1" t="s">
        <v>3</v>
      </c>
      <c r="C33" s="1" t="s">
        <v>118</v>
      </c>
      <c r="D33" s="1" t="s">
        <v>117</v>
      </c>
      <c r="E33" s="1" t="s">
        <v>116</v>
      </c>
      <c r="F33" s="21" t="s">
        <v>0</v>
      </c>
      <c r="G33" s="1"/>
      <c r="I33">
        <f t="shared" si="0"/>
        <v>0</v>
      </c>
      <c r="J33" s="51"/>
      <c r="K33" s="11"/>
      <c r="L33" s="10"/>
      <c r="M33" s="10"/>
      <c r="N33" s="9"/>
    </row>
    <row r="34" spans="1:14" x14ac:dyDescent="0.25">
      <c r="A34" s="1" t="s">
        <v>115</v>
      </c>
      <c r="B34" s="1" t="s">
        <v>3</v>
      </c>
      <c r="C34" s="1" t="s">
        <v>114</v>
      </c>
      <c r="D34" s="1" t="s">
        <v>113</v>
      </c>
      <c r="E34" s="1" t="s">
        <v>112</v>
      </c>
      <c r="F34" s="11" t="s">
        <v>246</v>
      </c>
      <c r="G34" s="1">
        <v>0.8</v>
      </c>
      <c r="I34">
        <f t="shared" si="0"/>
        <v>0.8</v>
      </c>
      <c r="J34" s="51"/>
      <c r="K34" s="11"/>
      <c r="L34" s="10"/>
      <c r="M34" s="10"/>
      <c r="N34" s="9"/>
    </row>
    <row r="35" spans="1:14" x14ac:dyDescent="0.25">
      <c r="A35" s="1" t="s">
        <v>111</v>
      </c>
      <c r="B35" s="1" t="s">
        <v>3</v>
      </c>
      <c r="C35" s="1" t="s">
        <v>110</v>
      </c>
      <c r="D35" s="1" t="s">
        <v>109</v>
      </c>
      <c r="E35" s="1" t="s">
        <v>108</v>
      </c>
      <c r="F35" s="11" t="s">
        <v>247</v>
      </c>
      <c r="G35" s="1">
        <v>1.43</v>
      </c>
      <c r="I35">
        <f t="shared" si="0"/>
        <v>1.43</v>
      </c>
      <c r="J35" s="51"/>
      <c r="K35" s="11"/>
      <c r="L35" s="10"/>
      <c r="M35" s="10"/>
      <c r="N35" s="9"/>
    </row>
    <row r="36" spans="1:14" x14ac:dyDescent="0.25">
      <c r="A36" s="1" t="s">
        <v>107</v>
      </c>
      <c r="B36" s="1" t="s">
        <v>3</v>
      </c>
      <c r="C36" s="1" t="s">
        <v>106</v>
      </c>
      <c r="D36" s="1" t="s">
        <v>89</v>
      </c>
      <c r="E36" s="1" t="s">
        <v>98</v>
      </c>
      <c r="F36" s="21" t="s">
        <v>248</v>
      </c>
      <c r="G36" s="1"/>
      <c r="I36">
        <f t="shared" si="0"/>
        <v>0</v>
      </c>
      <c r="J36" s="51"/>
      <c r="K36" s="11"/>
      <c r="L36" s="10"/>
      <c r="M36" s="10"/>
      <c r="N36" s="9"/>
    </row>
    <row r="37" spans="1:14" x14ac:dyDescent="0.25">
      <c r="A37" s="1" t="s">
        <v>105</v>
      </c>
      <c r="B37" s="1" t="s">
        <v>3</v>
      </c>
      <c r="C37" s="1" t="s">
        <v>90</v>
      </c>
      <c r="D37" s="1" t="s">
        <v>89</v>
      </c>
      <c r="E37" s="1" t="s">
        <v>98</v>
      </c>
      <c r="F37" s="21" t="s">
        <v>248</v>
      </c>
      <c r="G37" s="1"/>
      <c r="I37">
        <f t="shared" si="0"/>
        <v>0</v>
      </c>
      <c r="J37" s="51"/>
      <c r="K37" s="11"/>
      <c r="L37" s="10"/>
      <c r="M37" s="10"/>
      <c r="N37" s="9"/>
    </row>
    <row r="38" spans="1:14" x14ac:dyDescent="0.25">
      <c r="A38" s="1" t="s">
        <v>104</v>
      </c>
      <c r="B38" s="1" t="s">
        <v>3</v>
      </c>
      <c r="C38" s="1" t="s">
        <v>103</v>
      </c>
      <c r="D38" s="1" t="s">
        <v>89</v>
      </c>
      <c r="E38" s="1" t="s">
        <v>98</v>
      </c>
      <c r="F38" s="21" t="s">
        <v>248</v>
      </c>
      <c r="G38" s="1"/>
      <c r="I38">
        <f t="shared" si="0"/>
        <v>0</v>
      </c>
      <c r="J38" s="51"/>
      <c r="K38" s="11"/>
      <c r="L38" s="10"/>
      <c r="M38" s="10"/>
      <c r="N38" s="9"/>
    </row>
    <row r="39" spans="1:14" x14ac:dyDescent="0.25">
      <c r="A39" s="1" t="s">
        <v>102</v>
      </c>
      <c r="B39" s="1" t="s">
        <v>3</v>
      </c>
      <c r="C39" s="1" t="s">
        <v>101</v>
      </c>
      <c r="D39" s="1" t="s">
        <v>89</v>
      </c>
      <c r="E39" s="1" t="s">
        <v>98</v>
      </c>
      <c r="F39" s="21" t="s">
        <v>248</v>
      </c>
      <c r="G39" s="1"/>
      <c r="I39">
        <f t="shared" si="0"/>
        <v>0</v>
      </c>
      <c r="J39" s="51"/>
      <c r="K39" s="11"/>
      <c r="L39" s="10"/>
      <c r="M39" s="10"/>
      <c r="N39" s="9"/>
    </row>
    <row r="40" spans="1:14" x14ac:dyDescent="0.25">
      <c r="A40" s="1" t="s">
        <v>100</v>
      </c>
      <c r="B40" s="1" t="s">
        <v>3</v>
      </c>
      <c r="C40" s="1" t="s">
        <v>99</v>
      </c>
      <c r="D40" s="1" t="s">
        <v>89</v>
      </c>
      <c r="E40" s="1" t="s">
        <v>98</v>
      </c>
      <c r="F40" s="21" t="s">
        <v>248</v>
      </c>
      <c r="G40" s="1"/>
      <c r="I40">
        <f t="shared" si="0"/>
        <v>0</v>
      </c>
      <c r="J40" s="51"/>
      <c r="K40" s="11"/>
      <c r="L40" s="10"/>
      <c r="M40" s="10"/>
      <c r="N40" s="9"/>
    </row>
    <row r="41" spans="1:14" x14ac:dyDescent="0.25">
      <c r="A41" s="1" t="s">
        <v>97</v>
      </c>
      <c r="B41" s="1" t="s">
        <v>3</v>
      </c>
      <c r="C41" s="1" t="s">
        <v>96</v>
      </c>
      <c r="D41" s="1" t="s">
        <v>93</v>
      </c>
      <c r="E41" s="1" t="s">
        <v>95</v>
      </c>
      <c r="F41" t="s">
        <v>249</v>
      </c>
      <c r="G41" s="1">
        <v>0.45</v>
      </c>
      <c r="I41">
        <f t="shared" si="0"/>
        <v>0.45</v>
      </c>
      <c r="J41" s="51"/>
      <c r="K41" s="11"/>
      <c r="L41" s="10"/>
      <c r="M41" s="10"/>
      <c r="N41" s="9"/>
    </row>
    <row r="42" spans="1:14" x14ac:dyDescent="0.25">
      <c r="A42" s="1" t="s">
        <v>94</v>
      </c>
      <c r="B42" s="1" t="s">
        <v>3</v>
      </c>
      <c r="C42" s="1" t="s">
        <v>93</v>
      </c>
      <c r="D42" s="1" t="s">
        <v>93</v>
      </c>
      <c r="E42" s="1" t="s">
        <v>92</v>
      </c>
      <c r="F42" s="21" t="s">
        <v>250</v>
      </c>
      <c r="G42" s="1"/>
      <c r="I42">
        <f t="shared" si="0"/>
        <v>0</v>
      </c>
      <c r="J42" s="51"/>
      <c r="K42" s="11"/>
      <c r="L42" s="10"/>
      <c r="M42" s="10"/>
      <c r="N42" s="9"/>
    </row>
    <row r="43" spans="1:14" x14ac:dyDescent="0.25">
      <c r="A43" s="1" t="s">
        <v>91</v>
      </c>
      <c r="B43" s="1" t="s">
        <v>3</v>
      </c>
      <c r="C43" s="1" t="s">
        <v>90</v>
      </c>
      <c r="D43" s="1" t="s">
        <v>89</v>
      </c>
      <c r="E43" s="1" t="s">
        <v>88</v>
      </c>
      <c r="F43" s="21" t="s">
        <v>0</v>
      </c>
      <c r="G43" s="1"/>
      <c r="I43">
        <f t="shared" si="0"/>
        <v>0</v>
      </c>
      <c r="J43" s="51"/>
      <c r="K43" s="11"/>
      <c r="L43" s="10"/>
      <c r="M43" s="10"/>
      <c r="N43" s="9"/>
    </row>
    <row r="44" spans="1:14" x14ac:dyDescent="0.25">
      <c r="A44" s="1" t="s">
        <v>87</v>
      </c>
      <c r="B44" s="1" t="s">
        <v>62</v>
      </c>
      <c r="C44" s="1" t="s">
        <v>86</v>
      </c>
      <c r="D44" s="1" t="s">
        <v>85</v>
      </c>
      <c r="E44" s="1" t="s">
        <v>84</v>
      </c>
      <c r="F44" s="21" t="s">
        <v>237</v>
      </c>
      <c r="G44" s="1">
        <v>16.03</v>
      </c>
      <c r="I44">
        <f t="shared" si="0"/>
        <v>192.36</v>
      </c>
      <c r="J44" s="12" t="s">
        <v>202</v>
      </c>
      <c r="K44" s="11" t="s">
        <v>201</v>
      </c>
      <c r="L44" s="10">
        <v>15.2</v>
      </c>
      <c r="M44" s="10" t="s">
        <v>200</v>
      </c>
      <c r="N44" s="9">
        <v>16.03</v>
      </c>
    </row>
    <row r="45" spans="1:14" x14ac:dyDescent="0.25">
      <c r="A45" s="1" t="s">
        <v>83</v>
      </c>
      <c r="B45" s="1" t="s">
        <v>73</v>
      </c>
      <c r="C45" s="1" t="s">
        <v>82</v>
      </c>
      <c r="D45" s="1" t="s">
        <v>48</v>
      </c>
      <c r="E45" s="1" t="s">
        <v>39</v>
      </c>
      <c r="F45" s="21" t="s">
        <v>253</v>
      </c>
      <c r="G45" s="1"/>
      <c r="I45">
        <f t="shared" si="0"/>
        <v>0</v>
      </c>
      <c r="J45" s="51"/>
      <c r="K45" s="11"/>
      <c r="L45" s="10"/>
      <c r="M45" s="10"/>
      <c r="N45" s="9"/>
    </row>
    <row r="46" spans="1:14" x14ac:dyDescent="0.25">
      <c r="A46" s="1" t="s">
        <v>81</v>
      </c>
      <c r="B46" s="1" t="s">
        <v>80</v>
      </c>
      <c r="C46" s="1" t="s">
        <v>79</v>
      </c>
      <c r="D46" s="1" t="s">
        <v>69</v>
      </c>
      <c r="E46" s="1" t="s">
        <v>39</v>
      </c>
      <c r="F46" s="21" t="s">
        <v>254</v>
      </c>
      <c r="G46" s="1">
        <v>3.4000000000000002E-2</v>
      </c>
      <c r="I46">
        <f t="shared" si="0"/>
        <v>0.17</v>
      </c>
      <c r="J46" s="51"/>
      <c r="K46" s="11"/>
      <c r="L46" s="10"/>
      <c r="M46" s="10"/>
      <c r="N46" s="9"/>
    </row>
    <row r="47" spans="1:14" ht="15" customHeight="1" x14ac:dyDescent="0.25">
      <c r="A47" s="1" t="s">
        <v>78</v>
      </c>
      <c r="B47" s="1" t="s">
        <v>16</v>
      </c>
      <c r="C47" s="1" t="s">
        <v>77</v>
      </c>
      <c r="D47" s="1" t="s">
        <v>40</v>
      </c>
      <c r="E47" s="1" t="s">
        <v>39</v>
      </c>
      <c r="F47" t="s">
        <v>255</v>
      </c>
      <c r="G47" s="1">
        <v>8.3000000000000004E-2</v>
      </c>
      <c r="I47">
        <f t="shared" si="0"/>
        <v>0.249</v>
      </c>
      <c r="J47" s="51"/>
      <c r="K47" s="11"/>
      <c r="L47" s="10"/>
      <c r="M47" s="10"/>
      <c r="N47" s="9"/>
    </row>
    <row r="48" spans="1:14" x14ac:dyDescent="0.25">
      <c r="A48" s="1" t="s">
        <v>76</v>
      </c>
      <c r="B48" s="1" t="s">
        <v>73</v>
      </c>
      <c r="C48" s="1" t="s">
        <v>75</v>
      </c>
      <c r="D48" s="1" t="s">
        <v>69</v>
      </c>
      <c r="E48" s="1" t="s">
        <v>39</v>
      </c>
      <c r="F48" s="21" t="s">
        <v>256</v>
      </c>
      <c r="G48" s="1">
        <v>8.3000000000000004E-2</v>
      </c>
      <c r="I48">
        <f t="shared" si="0"/>
        <v>0.33200000000000002</v>
      </c>
      <c r="J48" s="51"/>
      <c r="K48" s="11"/>
      <c r="L48" s="10"/>
      <c r="M48" s="10"/>
      <c r="N48" s="9"/>
    </row>
    <row r="49" spans="1:14" x14ac:dyDescent="0.25">
      <c r="A49" s="1" t="s">
        <v>74</v>
      </c>
      <c r="B49" s="1" t="s">
        <v>73</v>
      </c>
      <c r="C49" s="1" t="s">
        <v>72</v>
      </c>
      <c r="D49" s="1" t="s">
        <v>69</v>
      </c>
      <c r="E49" s="1" t="s">
        <v>39</v>
      </c>
      <c r="F49" s="21" t="s">
        <v>258</v>
      </c>
      <c r="G49" s="1">
        <v>7.0000000000000007E-2</v>
      </c>
      <c r="I49">
        <f t="shared" si="0"/>
        <v>0.28000000000000003</v>
      </c>
      <c r="J49" s="51"/>
      <c r="K49" s="11"/>
      <c r="L49" s="10"/>
      <c r="M49" s="10"/>
      <c r="N49" s="9"/>
    </row>
    <row r="50" spans="1:14" x14ac:dyDescent="0.25">
      <c r="A50" s="1" t="s">
        <v>71</v>
      </c>
      <c r="B50" s="1" t="s">
        <v>3</v>
      </c>
      <c r="C50" s="1" t="s">
        <v>70</v>
      </c>
      <c r="D50" s="1" t="s">
        <v>69</v>
      </c>
      <c r="E50" s="1" t="s">
        <v>68</v>
      </c>
      <c r="F50" s="21" t="s">
        <v>259</v>
      </c>
      <c r="G50" s="1">
        <v>8.3000000000000004E-2</v>
      </c>
      <c r="I50">
        <f t="shared" si="0"/>
        <v>8.3000000000000004E-2</v>
      </c>
      <c r="J50" s="51"/>
      <c r="K50" s="11"/>
      <c r="L50" s="10"/>
      <c r="M50" s="10"/>
      <c r="N50" s="9"/>
    </row>
    <row r="51" spans="1:14" x14ac:dyDescent="0.25">
      <c r="A51" s="1" t="s">
        <v>67</v>
      </c>
      <c r="B51" s="1" t="s">
        <v>66</v>
      </c>
      <c r="C51" s="1" t="s">
        <v>261</v>
      </c>
      <c r="D51" s="1" t="s">
        <v>48</v>
      </c>
      <c r="E51" s="1" t="s">
        <v>39</v>
      </c>
      <c r="F51" s="21" t="s">
        <v>260</v>
      </c>
      <c r="G51" s="1">
        <v>7.2999999999999995E-2</v>
      </c>
      <c r="I51">
        <f t="shared" si="0"/>
        <v>0.51100000000000001</v>
      </c>
      <c r="J51" s="51"/>
      <c r="K51" s="11"/>
      <c r="L51" s="10"/>
      <c r="M51" s="10"/>
      <c r="N51" s="9"/>
    </row>
    <row r="52" spans="1:14" x14ac:dyDescent="0.25">
      <c r="A52" s="1" t="s">
        <v>65</v>
      </c>
      <c r="B52" s="1" t="s">
        <v>25</v>
      </c>
      <c r="C52" s="1" t="s">
        <v>64</v>
      </c>
      <c r="D52" s="1" t="s">
        <v>48</v>
      </c>
      <c r="E52" s="1" t="s">
        <v>39</v>
      </c>
      <c r="F52" s="21" t="s">
        <v>257</v>
      </c>
      <c r="G52" s="1">
        <v>8.4000000000000005E-2</v>
      </c>
      <c r="I52">
        <f t="shared" si="0"/>
        <v>0.16800000000000001</v>
      </c>
      <c r="J52" s="51"/>
      <c r="K52" s="11"/>
      <c r="L52" s="10"/>
      <c r="M52" s="10"/>
      <c r="N52" s="9"/>
    </row>
    <row r="53" spans="1:14" x14ac:dyDescent="0.25">
      <c r="A53" s="1" t="s">
        <v>63</v>
      </c>
      <c r="B53" s="1" t="s">
        <v>62</v>
      </c>
      <c r="C53" s="1" t="s">
        <v>61</v>
      </c>
      <c r="D53" s="1" t="s">
        <v>48</v>
      </c>
      <c r="E53" s="1" t="s">
        <v>39</v>
      </c>
      <c r="F53" s="21" t="s">
        <v>262</v>
      </c>
      <c r="G53" s="1">
        <v>2.7E-2</v>
      </c>
      <c r="I53">
        <f t="shared" si="0"/>
        <v>0.32400000000000001</v>
      </c>
      <c r="J53" s="51"/>
      <c r="K53" s="11"/>
      <c r="L53" s="10"/>
      <c r="M53" s="10"/>
      <c r="N53" s="9"/>
    </row>
    <row r="54" spans="1:14" x14ac:dyDescent="0.25">
      <c r="A54" s="1" t="s">
        <v>60</v>
      </c>
      <c r="B54" s="1" t="s">
        <v>3</v>
      </c>
      <c r="C54" s="1" t="s">
        <v>251</v>
      </c>
      <c r="D54" s="1" t="s">
        <v>40</v>
      </c>
      <c r="E54" s="1" t="s">
        <v>59</v>
      </c>
      <c r="F54" s="21" t="s">
        <v>252</v>
      </c>
      <c r="G54" s="1">
        <v>0.42</v>
      </c>
      <c r="I54">
        <f t="shared" si="0"/>
        <v>0.42</v>
      </c>
      <c r="J54" s="51"/>
      <c r="K54" s="11"/>
      <c r="L54" s="10"/>
      <c r="M54" s="10"/>
      <c r="N54" s="9"/>
    </row>
    <row r="55" spans="1:14" x14ac:dyDescent="0.25">
      <c r="A55" s="1" t="s">
        <v>58</v>
      </c>
      <c r="B55" s="1" t="s">
        <v>3</v>
      </c>
      <c r="C55" s="1" t="s">
        <v>312</v>
      </c>
      <c r="D55" s="1" t="s">
        <v>48</v>
      </c>
      <c r="E55" s="1" t="s">
        <v>39</v>
      </c>
      <c r="F55" t="s">
        <v>316</v>
      </c>
      <c r="G55" s="1">
        <v>0.3</v>
      </c>
      <c r="I55">
        <f t="shared" si="0"/>
        <v>0.3</v>
      </c>
      <c r="J55" s="51"/>
      <c r="K55" s="11"/>
      <c r="L55" s="10"/>
      <c r="M55" s="10"/>
      <c r="N55" s="9"/>
    </row>
    <row r="56" spans="1:14" x14ac:dyDescent="0.25">
      <c r="A56" s="1" t="s">
        <v>57</v>
      </c>
      <c r="B56" s="1" t="s">
        <v>3</v>
      </c>
      <c r="C56" s="1" t="s">
        <v>311</v>
      </c>
      <c r="D56" s="1" t="s">
        <v>48</v>
      </c>
      <c r="E56" s="1" t="s">
        <v>39</v>
      </c>
      <c r="F56" s="23" t="s">
        <v>317</v>
      </c>
      <c r="G56" s="1">
        <v>0.3</v>
      </c>
      <c r="I56">
        <f t="shared" si="0"/>
        <v>0.3</v>
      </c>
      <c r="J56" s="51"/>
      <c r="K56" s="11"/>
      <c r="L56" s="10"/>
      <c r="M56" s="10"/>
      <c r="N56" s="9"/>
    </row>
    <row r="57" spans="1:14" x14ac:dyDescent="0.25">
      <c r="A57" s="1" t="s">
        <v>56</v>
      </c>
      <c r="B57" s="1" t="s">
        <v>3</v>
      </c>
      <c r="C57" s="1" t="s">
        <v>313</v>
      </c>
      <c r="D57" s="1" t="s">
        <v>48</v>
      </c>
      <c r="E57" s="1" t="s">
        <v>39</v>
      </c>
      <c r="F57" s="30" t="s">
        <v>318</v>
      </c>
      <c r="G57" s="1">
        <v>0.3</v>
      </c>
      <c r="I57">
        <f t="shared" si="0"/>
        <v>0.3</v>
      </c>
      <c r="J57" s="51"/>
      <c r="K57" s="11"/>
      <c r="L57" s="10"/>
      <c r="M57" s="10"/>
      <c r="N57" s="9"/>
    </row>
    <row r="58" spans="1:14" x14ac:dyDescent="0.25">
      <c r="A58" s="1" t="s">
        <v>55</v>
      </c>
      <c r="B58" s="1" t="s">
        <v>3</v>
      </c>
      <c r="C58" s="1" t="s">
        <v>314</v>
      </c>
      <c r="D58" s="1" t="s">
        <v>48</v>
      </c>
      <c r="E58" s="1" t="s">
        <v>39</v>
      </c>
      <c r="F58" s="30" t="s">
        <v>319</v>
      </c>
      <c r="G58" s="1">
        <v>0.3</v>
      </c>
      <c r="I58">
        <f t="shared" si="0"/>
        <v>0.3</v>
      </c>
      <c r="J58" s="51"/>
      <c r="K58" s="11"/>
      <c r="L58" s="10"/>
      <c r="M58" s="10"/>
      <c r="N58" s="9"/>
    </row>
    <row r="59" spans="1:14" x14ac:dyDescent="0.25">
      <c r="A59" s="1" t="s">
        <v>54</v>
      </c>
      <c r="B59" s="1" t="s">
        <v>16</v>
      </c>
      <c r="C59" s="1" t="s">
        <v>53</v>
      </c>
      <c r="D59" s="1" t="s">
        <v>48</v>
      </c>
      <c r="E59" s="1" t="s">
        <v>52</v>
      </c>
      <c r="F59" s="18" t="s">
        <v>237</v>
      </c>
      <c r="G59" s="1">
        <v>1.75</v>
      </c>
      <c r="I59">
        <f t="shared" si="0"/>
        <v>5.25</v>
      </c>
      <c r="J59" s="51"/>
      <c r="K59" s="25" t="s">
        <v>263</v>
      </c>
      <c r="L59" s="10"/>
      <c r="M59" s="10" t="s">
        <v>274</v>
      </c>
      <c r="N59" s="9"/>
    </row>
    <row r="60" spans="1:14" x14ac:dyDescent="0.25">
      <c r="A60" s="1" t="s">
        <v>51</v>
      </c>
      <c r="B60" s="1" t="s">
        <v>50</v>
      </c>
      <c r="C60" s="1" t="s">
        <v>49</v>
      </c>
      <c r="D60" s="1" t="s">
        <v>48</v>
      </c>
      <c r="E60" s="1" t="s">
        <v>39</v>
      </c>
      <c r="F60" s="21" t="s">
        <v>264</v>
      </c>
      <c r="G60" s="1">
        <v>0.78</v>
      </c>
      <c r="I60">
        <f t="shared" si="0"/>
        <v>6.24</v>
      </c>
      <c r="J60" s="51"/>
      <c r="K60" s="11"/>
      <c r="L60" s="10"/>
      <c r="M60" s="10"/>
      <c r="N60" s="9"/>
    </row>
    <row r="61" spans="1:14" x14ac:dyDescent="0.25">
      <c r="A61" s="1" t="s">
        <v>47</v>
      </c>
      <c r="B61" s="1" t="s">
        <v>3</v>
      </c>
      <c r="C61" s="1" t="s">
        <v>46</v>
      </c>
      <c r="D61" s="1" t="s">
        <v>40</v>
      </c>
      <c r="E61" s="1" t="s">
        <v>39</v>
      </c>
      <c r="F61" s="21" t="s">
        <v>265</v>
      </c>
      <c r="G61" s="1">
        <v>0.05</v>
      </c>
      <c r="I61">
        <f t="shared" si="0"/>
        <v>0.05</v>
      </c>
      <c r="J61" s="51"/>
      <c r="K61" s="11"/>
      <c r="L61" s="10"/>
      <c r="M61" s="10"/>
      <c r="N61" s="9"/>
    </row>
    <row r="62" spans="1:14" x14ac:dyDescent="0.25">
      <c r="A62" s="1" t="s">
        <v>45</v>
      </c>
      <c r="B62" s="1" t="s">
        <v>3</v>
      </c>
      <c r="C62" s="1" t="s">
        <v>44</v>
      </c>
      <c r="D62" s="1" t="s">
        <v>40</v>
      </c>
      <c r="E62" s="1" t="s">
        <v>39</v>
      </c>
      <c r="F62" s="21" t="s">
        <v>266</v>
      </c>
      <c r="G62" s="1"/>
      <c r="I62">
        <f t="shared" si="0"/>
        <v>0</v>
      </c>
      <c r="J62" s="51"/>
      <c r="K62" s="11"/>
      <c r="L62" s="10"/>
      <c r="M62" s="10"/>
      <c r="N62" s="9"/>
    </row>
    <row r="63" spans="1:14" x14ac:dyDescent="0.25">
      <c r="A63" s="1" t="s">
        <v>320</v>
      </c>
      <c r="B63" s="4">
        <v>4</v>
      </c>
      <c r="C63" s="1" t="s">
        <v>43</v>
      </c>
      <c r="D63" s="1" t="s">
        <v>40</v>
      </c>
      <c r="E63" s="1" t="s">
        <v>39</v>
      </c>
      <c r="F63" s="21" t="s">
        <v>267</v>
      </c>
      <c r="G63" s="1">
        <v>7.0000000000000007E-2</v>
      </c>
      <c r="I63">
        <f t="shared" si="0"/>
        <v>0.28000000000000003</v>
      </c>
      <c r="J63" s="51"/>
      <c r="K63" s="11"/>
      <c r="L63" s="10"/>
      <c r="M63" s="10"/>
      <c r="N63" s="9"/>
    </row>
    <row r="64" spans="1:14" x14ac:dyDescent="0.25">
      <c r="A64" s="1" t="s">
        <v>42</v>
      </c>
      <c r="B64" s="1" t="s">
        <v>25</v>
      </c>
      <c r="C64" s="1" t="s">
        <v>41</v>
      </c>
      <c r="D64" s="1" t="s">
        <v>40</v>
      </c>
      <c r="E64" s="1" t="s">
        <v>39</v>
      </c>
      <c r="F64" s="24" t="s">
        <v>268</v>
      </c>
      <c r="G64" s="1">
        <v>0.48</v>
      </c>
      <c r="I64">
        <f t="shared" si="0"/>
        <v>0.96</v>
      </c>
      <c r="J64" s="51"/>
      <c r="K64" s="11"/>
      <c r="L64" s="10"/>
      <c r="M64" s="10"/>
      <c r="N64" s="9"/>
    </row>
    <row r="65" spans="1:14" x14ac:dyDescent="0.25">
      <c r="A65" s="1" t="s">
        <v>38</v>
      </c>
      <c r="B65" s="1" t="s">
        <v>3</v>
      </c>
      <c r="C65" s="1" t="s">
        <v>37</v>
      </c>
      <c r="D65" s="1" t="s">
        <v>37</v>
      </c>
      <c r="E65" s="1" t="s">
        <v>36</v>
      </c>
      <c r="F65" s="21" t="s">
        <v>276</v>
      </c>
      <c r="G65" s="1">
        <v>1.9</v>
      </c>
      <c r="I65">
        <f t="shared" si="0"/>
        <v>1.9</v>
      </c>
      <c r="J65" s="51"/>
      <c r="K65" s="11"/>
      <c r="L65" s="10"/>
      <c r="M65" s="10"/>
      <c r="N65" s="9"/>
    </row>
    <row r="66" spans="1:14" x14ac:dyDescent="0.25">
      <c r="A66" s="1" t="s">
        <v>35</v>
      </c>
      <c r="B66" s="1" t="s">
        <v>3</v>
      </c>
      <c r="C66" s="1" t="s">
        <v>34</v>
      </c>
      <c r="D66" s="1" t="s">
        <v>34</v>
      </c>
      <c r="E66" s="1" t="s">
        <v>33</v>
      </c>
      <c r="F66" s="21" t="s">
        <v>0</v>
      </c>
      <c r="G66" s="1"/>
      <c r="I66">
        <f t="shared" si="0"/>
        <v>0</v>
      </c>
      <c r="J66" s="51"/>
      <c r="K66" s="11"/>
      <c r="L66" s="10"/>
      <c r="M66" s="10"/>
      <c r="N66" s="9"/>
    </row>
    <row r="67" spans="1:14" x14ac:dyDescent="0.25">
      <c r="A67" s="1" t="s">
        <v>32</v>
      </c>
      <c r="B67" s="1" t="s">
        <v>3</v>
      </c>
      <c r="C67" s="1" t="s">
        <v>31</v>
      </c>
      <c r="D67" s="1" t="s">
        <v>30</v>
      </c>
      <c r="E67" s="1" t="s">
        <v>29</v>
      </c>
      <c r="F67" s="21" t="s">
        <v>219</v>
      </c>
      <c r="G67" s="1">
        <v>10.38</v>
      </c>
      <c r="I67">
        <f t="shared" si="0"/>
        <v>10.38</v>
      </c>
      <c r="J67" s="51"/>
      <c r="K67" s="11"/>
      <c r="L67" s="10"/>
      <c r="M67" s="10"/>
      <c r="N67" s="9"/>
    </row>
    <row r="68" spans="1:14" x14ac:dyDescent="0.25">
      <c r="A68" s="1" t="s">
        <v>28</v>
      </c>
      <c r="B68" s="1" t="s">
        <v>3</v>
      </c>
      <c r="C68" s="1" t="s">
        <v>307</v>
      </c>
      <c r="D68" s="1" t="s">
        <v>307</v>
      </c>
      <c r="E68" s="1" t="s">
        <v>27</v>
      </c>
      <c r="F68" s="21" t="s">
        <v>293</v>
      </c>
      <c r="G68" s="1"/>
      <c r="I68">
        <f t="shared" si="0"/>
        <v>0</v>
      </c>
      <c r="J68" s="51"/>
      <c r="K68" s="11"/>
      <c r="L68" s="10"/>
      <c r="M68" s="10"/>
      <c r="N68" s="9"/>
    </row>
    <row r="69" spans="1:14" x14ac:dyDescent="0.25">
      <c r="A69" s="1" t="s">
        <v>26</v>
      </c>
      <c r="B69" s="1" t="s">
        <v>25</v>
      </c>
      <c r="C69" s="1" t="s">
        <v>305</v>
      </c>
      <c r="D69" s="1" t="s">
        <v>305</v>
      </c>
      <c r="E69" s="1" t="s">
        <v>24</v>
      </c>
      <c r="F69" t="s">
        <v>306</v>
      </c>
      <c r="G69" s="1">
        <v>0.6</v>
      </c>
      <c r="I69">
        <f t="shared" si="0"/>
        <v>1.2</v>
      </c>
      <c r="J69" s="51"/>
      <c r="K69" s="11"/>
      <c r="L69" s="10"/>
      <c r="M69" s="10"/>
      <c r="N69" s="9"/>
    </row>
    <row r="70" spans="1:14" x14ac:dyDescent="0.25">
      <c r="A70" s="1" t="s">
        <v>23</v>
      </c>
      <c r="B70" s="1" t="s">
        <v>3</v>
      </c>
      <c r="C70" s="1" t="s">
        <v>22</v>
      </c>
      <c r="D70" s="1" t="s">
        <v>22</v>
      </c>
      <c r="E70" s="1" t="s">
        <v>21</v>
      </c>
      <c r="F70" s="20" t="s">
        <v>217</v>
      </c>
      <c r="G70" s="1">
        <v>6.9</v>
      </c>
      <c r="I70">
        <f t="shared" si="0"/>
        <v>6.9</v>
      </c>
      <c r="J70" s="51"/>
      <c r="K70" s="11"/>
      <c r="L70" s="10"/>
      <c r="M70" s="10"/>
      <c r="N70" s="9"/>
    </row>
    <row r="71" spans="1:14" x14ac:dyDescent="0.25">
      <c r="A71" s="1" t="s">
        <v>20</v>
      </c>
      <c r="B71" s="1" t="s">
        <v>3</v>
      </c>
      <c r="C71" s="1" t="s">
        <v>19</v>
      </c>
      <c r="D71" s="1"/>
      <c r="E71" s="1" t="s">
        <v>18</v>
      </c>
      <c r="F71" s="20" t="s">
        <v>220</v>
      </c>
      <c r="G71" s="1">
        <v>17.600000000000001</v>
      </c>
      <c r="I71">
        <f t="shared" ref="I71:I78" si="1">B71*G71</f>
        <v>17.600000000000001</v>
      </c>
      <c r="J71" s="51"/>
      <c r="K71" s="11"/>
      <c r="L71" s="10"/>
      <c r="M71" s="10"/>
      <c r="N71" s="9"/>
    </row>
    <row r="72" spans="1:14" x14ac:dyDescent="0.25">
      <c r="A72" s="1" t="s">
        <v>17</v>
      </c>
      <c r="B72" s="1" t="s">
        <v>16</v>
      </c>
      <c r="C72" s="1" t="s">
        <v>15</v>
      </c>
      <c r="D72" s="1" t="s">
        <v>14</v>
      </c>
      <c r="E72" s="1" t="s">
        <v>11</v>
      </c>
      <c r="F72" s="21" t="s">
        <v>218</v>
      </c>
      <c r="G72" s="1">
        <v>1.45</v>
      </c>
      <c r="I72">
        <f t="shared" si="1"/>
        <v>4.3499999999999996</v>
      </c>
      <c r="J72" s="51"/>
      <c r="K72" s="11"/>
      <c r="L72" s="10"/>
      <c r="M72" s="10"/>
      <c r="N72" s="9"/>
    </row>
    <row r="73" spans="1:14" x14ac:dyDescent="0.25">
      <c r="A73" s="1" t="s">
        <v>13</v>
      </c>
      <c r="B73" s="1" t="s">
        <v>3</v>
      </c>
      <c r="C73" s="1" t="s">
        <v>12</v>
      </c>
      <c r="D73" s="1"/>
      <c r="E73" s="1" t="s">
        <v>11</v>
      </c>
      <c r="F73" s="21" t="s">
        <v>225</v>
      </c>
      <c r="G73" s="1">
        <v>5.7</v>
      </c>
      <c r="I73">
        <f t="shared" si="1"/>
        <v>5.7</v>
      </c>
      <c r="J73" s="51"/>
      <c r="K73" s="11"/>
      <c r="L73" s="10"/>
      <c r="M73" s="10"/>
      <c r="N73" s="9"/>
    </row>
    <row r="74" spans="1:14" x14ac:dyDescent="0.25">
      <c r="A74" s="1" t="s">
        <v>10</v>
      </c>
      <c r="B74" s="1" t="s">
        <v>3</v>
      </c>
      <c r="C74" s="1" t="s">
        <v>9</v>
      </c>
      <c r="D74" s="1" t="s">
        <v>8</v>
      </c>
      <c r="E74" s="1" t="s">
        <v>7</v>
      </c>
      <c r="F74" s="20" t="s">
        <v>221</v>
      </c>
      <c r="G74" s="1">
        <v>1.4</v>
      </c>
      <c r="I74">
        <f t="shared" si="1"/>
        <v>1.4</v>
      </c>
      <c r="J74" s="51"/>
      <c r="K74" s="11"/>
      <c r="L74" s="10"/>
      <c r="M74" s="10"/>
      <c r="N74" s="9"/>
    </row>
    <row r="75" spans="1:14" x14ac:dyDescent="0.25">
      <c r="A75" s="1" t="s">
        <v>6</v>
      </c>
      <c r="B75" s="1" t="s">
        <v>3</v>
      </c>
      <c r="C75" s="1" t="s">
        <v>5</v>
      </c>
      <c r="D75" s="1" t="s">
        <v>2</v>
      </c>
      <c r="E75" s="1" t="s">
        <v>1</v>
      </c>
      <c r="F75" s="21" t="s">
        <v>224</v>
      </c>
      <c r="G75" s="1">
        <v>0.53</v>
      </c>
      <c r="I75">
        <f t="shared" si="1"/>
        <v>0.53</v>
      </c>
      <c r="J75" s="51"/>
      <c r="K75" s="11"/>
      <c r="L75" s="10"/>
      <c r="M75" s="10"/>
      <c r="N75" s="9"/>
    </row>
    <row r="76" spans="1:14" x14ac:dyDescent="0.25">
      <c r="A76" s="1" t="s">
        <v>4</v>
      </c>
      <c r="B76" s="1" t="s">
        <v>3</v>
      </c>
      <c r="C76" s="1" t="s">
        <v>222</v>
      </c>
      <c r="D76" s="1" t="s">
        <v>2</v>
      </c>
      <c r="E76" s="1" t="s">
        <v>1</v>
      </c>
      <c r="F76" s="21" t="s">
        <v>223</v>
      </c>
      <c r="G76" s="1">
        <v>0.35</v>
      </c>
      <c r="I76">
        <f t="shared" si="1"/>
        <v>0.35</v>
      </c>
      <c r="J76" s="51"/>
      <c r="K76" s="11"/>
      <c r="L76" s="10"/>
      <c r="M76" s="10"/>
      <c r="N76" s="9"/>
    </row>
    <row r="77" spans="1:14" x14ac:dyDescent="0.25">
      <c r="A77" s="1"/>
      <c r="B77" s="4">
        <v>5</v>
      </c>
      <c r="C77" s="1" t="s">
        <v>304</v>
      </c>
      <c r="D77" s="50"/>
      <c r="E77" t="s">
        <v>289</v>
      </c>
      <c r="F77" s="61" t="s">
        <v>288</v>
      </c>
      <c r="G77" s="1">
        <v>0.17</v>
      </c>
      <c r="I77">
        <f t="shared" si="1"/>
        <v>0.85000000000000009</v>
      </c>
      <c r="J77" s="51"/>
      <c r="K77" s="11"/>
      <c r="L77" s="10"/>
      <c r="M77" s="10"/>
      <c r="N77" s="9"/>
    </row>
    <row r="78" spans="1:14" x14ac:dyDescent="0.25">
      <c r="A78" s="1" t="s">
        <v>301</v>
      </c>
      <c r="B78" s="4">
        <v>2</v>
      </c>
      <c r="C78" s="72" t="s">
        <v>302</v>
      </c>
      <c r="D78" s="70"/>
      <c r="E78" s="1"/>
      <c r="F78" t="s">
        <v>303</v>
      </c>
      <c r="G78" s="1">
        <v>0.44</v>
      </c>
      <c r="I78">
        <f t="shared" si="1"/>
        <v>0.88</v>
      </c>
      <c r="J78" s="62"/>
      <c r="K78" s="11"/>
      <c r="L78" s="10"/>
      <c r="M78" s="10"/>
      <c r="N78" s="9"/>
    </row>
    <row r="79" spans="1:14" ht="15.75" thickBot="1" x14ac:dyDescent="0.3">
      <c r="K79" s="8"/>
      <c r="L79" s="7"/>
      <c r="M79" s="7"/>
      <c r="N79" s="6"/>
    </row>
    <row r="80" spans="1:14" x14ac:dyDescent="0.25">
      <c r="H80" s="52" t="s">
        <v>214</v>
      </c>
      <c r="I80" s="53">
        <f>SUM(I5:I78)</f>
        <v>392.44100000000009</v>
      </c>
    </row>
    <row r="81" spans="8:9" ht="15.75" thickBot="1" x14ac:dyDescent="0.3">
      <c r="H81" s="54" t="s">
        <v>213</v>
      </c>
      <c r="I81" s="55">
        <f>L16*B16+L17*B17+L44*B44</f>
        <v>276.09999999999997</v>
      </c>
    </row>
  </sheetData>
  <mergeCells count="3">
    <mergeCell ref="K1:N1"/>
    <mergeCell ref="K2:L2"/>
    <mergeCell ref="M2:N2"/>
  </mergeCell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02CE8-557B-46E0-95FE-20FDD56D8D9E}">
  <sheetPr codeName="Tabelle2"/>
  <dimension ref="A1:I63"/>
  <sheetViews>
    <sheetView tabSelected="1" topLeftCell="A49" zoomScale="80" zoomScaleNormal="80" workbookViewId="0">
      <selection activeCell="R52" sqref="R52"/>
    </sheetView>
  </sheetViews>
  <sheetFormatPr baseColWidth="10" defaultRowHeight="15" x14ac:dyDescent="0.25"/>
  <cols>
    <col min="2" max="2" width="22.5703125" customWidth="1"/>
    <col min="3" max="3" width="23" customWidth="1"/>
    <col min="4" max="4" width="15.5703125" customWidth="1"/>
    <col min="5" max="5" width="11.140625" customWidth="1"/>
    <col min="6" max="6" width="11.42578125" style="27"/>
    <col min="7" max="7" width="28.5703125" customWidth="1"/>
    <col min="8" max="8" width="25.28515625" customWidth="1"/>
    <col min="9" max="9" width="23.42578125" customWidth="1"/>
  </cols>
  <sheetData>
    <row r="1" spans="1:9" s="36" customFormat="1" ht="15.75" thickBot="1" x14ac:dyDescent="0.3">
      <c r="A1" s="36" t="s">
        <v>285</v>
      </c>
      <c r="B1" s="36" t="s">
        <v>282</v>
      </c>
      <c r="C1" s="36" t="s">
        <v>283</v>
      </c>
      <c r="D1" s="38" t="s">
        <v>275</v>
      </c>
      <c r="E1" s="47">
        <v>9</v>
      </c>
      <c r="F1" s="37"/>
      <c r="G1" s="48" t="s">
        <v>281</v>
      </c>
      <c r="H1" s="48" t="s">
        <v>310</v>
      </c>
      <c r="I1" s="48" t="s">
        <v>309</v>
      </c>
    </row>
    <row r="2" spans="1:9" x14ac:dyDescent="0.25">
      <c r="A2" s="30">
        <v>2</v>
      </c>
      <c r="B2" s="29" t="s">
        <v>226</v>
      </c>
      <c r="C2" s="45" t="s">
        <v>241</v>
      </c>
      <c r="D2" s="79"/>
      <c r="E2" s="59"/>
      <c r="F2" s="46">
        <f t="shared" ref="F2:F34" si="0">A2*E$1</f>
        <v>18</v>
      </c>
      <c r="G2" s="39" t="s">
        <v>226</v>
      </c>
      <c r="H2" s="29"/>
      <c r="I2" s="32"/>
    </row>
    <row r="3" spans="1:9" x14ac:dyDescent="0.25">
      <c r="A3" s="30">
        <v>2</v>
      </c>
      <c r="B3" s="29" t="s">
        <v>294</v>
      </c>
      <c r="C3" s="45" t="s">
        <v>298</v>
      </c>
      <c r="D3" s="80"/>
      <c r="E3" s="60"/>
      <c r="F3" s="46">
        <f t="shared" si="0"/>
        <v>18</v>
      </c>
      <c r="G3" s="39" t="s">
        <v>294</v>
      </c>
      <c r="H3" s="29"/>
      <c r="I3" s="32"/>
    </row>
    <row r="4" spans="1:9" x14ac:dyDescent="0.25">
      <c r="A4" s="30">
        <v>20</v>
      </c>
      <c r="B4" s="30" t="s">
        <v>227</v>
      </c>
      <c r="C4" s="28" t="s">
        <v>156</v>
      </c>
      <c r="D4" s="81"/>
      <c r="E4" s="60"/>
      <c r="F4" s="35">
        <f t="shared" si="0"/>
        <v>180</v>
      </c>
      <c r="G4" s="40" t="s">
        <v>227</v>
      </c>
      <c r="H4" s="30"/>
      <c r="I4" s="32"/>
    </row>
    <row r="5" spans="1:9" x14ac:dyDescent="0.25">
      <c r="A5" s="28" t="s">
        <v>3</v>
      </c>
      <c r="B5" s="30" t="s">
        <v>228</v>
      </c>
      <c r="C5" s="28" t="s">
        <v>164</v>
      </c>
      <c r="F5" s="35">
        <f t="shared" si="0"/>
        <v>9</v>
      </c>
      <c r="G5" s="40" t="s">
        <v>228</v>
      </c>
      <c r="H5" s="30"/>
      <c r="I5" s="32"/>
    </row>
    <row r="6" spans="1:9" x14ac:dyDescent="0.25">
      <c r="A6" s="28" t="s">
        <v>73</v>
      </c>
      <c r="B6" s="23" t="s">
        <v>229</v>
      </c>
      <c r="C6" s="28" t="s">
        <v>184</v>
      </c>
      <c r="F6" s="35">
        <f t="shared" si="0"/>
        <v>36</v>
      </c>
      <c r="G6" s="41" t="s">
        <v>229</v>
      </c>
      <c r="H6" s="31"/>
      <c r="I6" s="32"/>
    </row>
    <row r="7" spans="1:9" x14ac:dyDescent="0.25">
      <c r="A7" s="28" t="s">
        <v>25</v>
      </c>
      <c r="B7" s="30" t="s">
        <v>230</v>
      </c>
      <c r="C7" s="28" t="s">
        <v>182</v>
      </c>
      <c r="F7" s="35">
        <f t="shared" si="0"/>
        <v>18</v>
      </c>
      <c r="G7" s="40" t="s">
        <v>230</v>
      </c>
      <c r="H7" s="30"/>
      <c r="I7" s="32"/>
    </row>
    <row r="8" spans="1:9" x14ac:dyDescent="0.25">
      <c r="A8" s="30">
        <v>12</v>
      </c>
      <c r="B8" s="30" t="s">
        <v>231</v>
      </c>
      <c r="C8" s="28" t="s">
        <v>181</v>
      </c>
      <c r="F8" s="35">
        <f t="shared" si="0"/>
        <v>108</v>
      </c>
      <c r="G8" s="40" t="s">
        <v>231</v>
      </c>
      <c r="H8" s="30"/>
      <c r="I8" s="32"/>
    </row>
    <row r="9" spans="1:9" x14ac:dyDescent="0.25">
      <c r="A9" s="28" t="s">
        <v>25</v>
      </c>
      <c r="B9" s="30" t="s">
        <v>232</v>
      </c>
      <c r="C9" s="28" t="s">
        <v>179</v>
      </c>
      <c r="F9" s="35">
        <f t="shared" si="0"/>
        <v>18</v>
      </c>
      <c r="G9" s="40" t="s">
        <v>232</v>
      </c>
      <c r="H9" s="30"/>
      <c r="I9" s="32"/>
    </row>
    <row r="10" spans="1:9" x14ac:dyDescent="0.25">
      <c r="A10" s="30">
        <v>6</v>
      </c>
      <c r="B10" s="30" t="s">
        <v>233</v>
      </c>
      <c r="C10" s="28" t="s">
        <v>163</v>
      </c>
      <c r="F10" s="35">
        <f t="shared" si="0"/>
        <v>54</v>
      </c>
      <c r="G10" s="40" t="s">
        <v>233</v>
      </c>
      <c r="H10" s="30"/>
      <c r="I10" s="32"/>
    </row>
    <row r="11" spans="1:9" x14ac:dyDescent="0.25">
      <c r="A11" s="28" t="s">
        <v>25</v>
      </c>
      <c r="B11" s="30" t="s">
        <v>234</v>
      </c>
      <c r="C11" s="28" t="s">
        <v>175</v>
      </c>
      <c r="F11" s="35">
        <f t="shared" si="0"/>
        <v>18</v>
      </c>
      <c r="G11" s="40" t="s">
        <v>234</v>
      </c>
      <c r="H11" s="30"/>
      <c r="I11" s="32"/>
    </row>
    <row r="12" spans="1:9" x14ac:dyDescent="0.25">
      <c r="A12" s="28" t="s">
        <v>3</v>
      </c>
      <c r="B12" s="30" t="s">
        <v>235</v>
      </c>
      <c r="C12" s="28" t="s">
        <v>164</v>
      </c>
      <c r="F12" s="35">
        <f t="shared" si="0"/>
        <v>9</v>
      </c>
      <c r="G12" s="40" t="s">
        <v>235</v>
      </c>
      <c r="H12" s="30"/>
      <c r="I12" s="32"/>
    </row>
    <row r="13" spans="1:9" x14ac:dyDescent="0.25">
      <c r="A13" s="28" t="s">
        <v>16</v>
      </c>
      <c r="B13" s="30" t="s">
        <v>236</v>
      </c>
      <c r="C13" s="28" t="s">
        <v>163</v>
      </c>
      <c r="F13" s="35">
        <f t="shared" si="0"/>
        <v>27</v>
      </c>
      <c r="G13" s="40" t="s">
        <v>236</v>
      </c>
      <c r="H13" s="30"/>
      <c r="I13" s="32"/>
    </row>
    <row r="14" spans="1:9" x14ac:dyDescent="0.25">
      <c r="A14" s="28" t="s">
        <v>25</v>
      </c>
      <c r="B14" s="30" t="s">
        <v>271</v>
      </c>
      <c r="C14" s="28" t="s">
        <v>161</v>
      </c>
      <c r="F14" s="35">
        <f t="shared" si="0"/>
        <v>18</v>
      </c>
      <c r="G14" s="40" t="s">
        <v>271</v>
      </c>
      <c r="H14" s="30"/>
      <c r="I14" s="32"/>
    </row>
    <row r="15" spans="1:9" x14ac:dyDescent="0.25">
      <c r="A15" s="28" t="s">
        <v>25</v>
      </c>
      <c r="B15" s="30" t="s">
        <v>239</v>
      </c>
      <c r="C15" s="28" t="s">
        <v>159</v>
      </c>
      <c r="F15" s="35">
        <f t="shared" si="0"/>
        <v>18</v>
      </c>
      <c r="G15" s="40" t="s">
        <v>239</v>
      </c>
      <c r="H15" s="30"/>
      <c r="I15" s="32"/>
    </row>
    <row r="16" spans="1:9" x14ac:dyDescent="0.25">
      <c r="A16" s="28" t="s">
        <v>3</v>
      </c>
      <c r="B16" s="30" t="s">
        <v>244</v>
      </c>
      <c r="C16" s="28" t="s">
        <v>152</v>
      </c>
      <c r="F16" s="35">
        <f t="shared" si="0"/>
        <v>9</v>
      </c>
      <c r="G16" s="40" t="s">
        <v>244</v>
      </c>
      <c r="H16" s="30"/>
      <c r="I16" s="32"/>
    </row>
    <row r="17" spans="1:9" x14ac:dyDescent="0.25">
      <c r="A17" s="28" t="s">
        <v>3</v>
      </c>
      <c r="B17" s="30" t="s">
        <v>243</v>
      </c>
      <c r="C17" s="28" t="s">
        <v>150</v>
      </c>
      <c r="F17" s="35">
        <f t="shared" si="0"/>
        <v>9</v>
      </c>
      <c r="G17" s="40" t="s">
        <v>243</v>
      </c>
      <c r="H17" s="30"/>
      <c r="I17" s="32"/>
    </row>
    <row r="18" spans="1:9" x14ac:dyDescent="0.25">
      <c r="A18" s="28" t="s">
        <v>3</v>
      </c>
      <c r="B18" s="30" t="s">
        <v>242</v>
      </c>
      <c r="C18" s="28" t="s">
        <v>148</v>
      </c>
      <c r="F18" s="35">
        <f t="shared" si="0"/>
        <v>9</v>
      </c>
      <c r="G18" s="40" t="s">
        <v>242</v>
      </c>
      <c r="H18" s="30"/>
      <c r="I18" s="32"/>
    </row>
    <row r="19" spans="1:9" x14ac:dyDescent="0.25">
      <c r="A19" s="28" t="s">
        <v>16</v>
      </c>
      <c r="B19" s="29" t="s">
        <v>291</v>
      </c>
      <c r="C19" s="28" t="s">
        <v>292</v>
      </c>
      <c r="F19" s="35">
        <f t="shared" si="0"/>
        <v>27</v>
      </c>
      <c r="G19" s="39" t="s">
        <v>291</v>
      </c>
      <c r="H19" s="29"/>
      <c r="I19" s="32"/>
    </row>
    <row r="20" spans="1:9" x14ac:dyDescent="0.25">
      <c r="A20" s="28" t="s">
        <v>62</v>
      </c>
      <c r="B20" s="30" t="s">
        <v>215</v>
      </c>
      <c r="C20" s="28" t="s">
        <v>141</v>
      </c>
      <c r="F20" s="35">
        <f t="shared" si="0"/>
        <v>108</v>
      </c>
      <c r="G20" s="40" t="s">
        <v>215</v>
      </c>
      <c r="H20" s="30"/>
      <c r="I20" s="32"/>
    </row>
    <row r="21" spans="1:9" x14ac:dyDescent="0.25">
      <c r="A21" s="28" t="s">
        <v>3</v>
      </c>
      <c r="B21" s="30" t="s">
        <v>216</v>
      </c>
      <c r="C21" s="28" t="s">
        <v>137</v>
      </c>
      <c r="F21" s="35">
        <f t="shared" si="0"/>
        <v>9</v>
      </c>
      <c r="G21" s="40" t="s">
        <v>216</v>
      </c>
      <c r="H21" s="30"/>
      <c r="I21" s="32"/>
    </row>
    <row r="22" spans="1:9" x14ac:dyDescent="0.25">
      <c r="A22" s="28" t="s">
        <v>25</v>
      </c>
      <c r="B22" s="32" t="s">
        <v>245</v>
      </c>
      <c r="C22" s="28" t="s">
        <v>128</v>
      </c>
      <c r="F22" s="35">
        <f t="shared" si="0"/>
        <v>18</v>
      </c>
      <c r="G22" s="42" t="s">
        <v>245</v>
      </c>
      <c r="H22" s="32"/>
      <c r="I22" s="32"/>
    </row>
    <row r="23" spans="1:9" x14ac:dyDescent="0.25">
      <c r="A23" s="28" t="s">
        <v>3</v>
      </c>
      <c r="B23" s="32" t="s">
        <v>246</v>
      </c>
      <c r="C23" s="28" t="s">
        <v>114</v>
      </c>
      <c r="F23" s="35">
        <f t="shared" si="0"/>
        <v>9</v>
      </c>
      <c r="G23" s="42" t="s">
        <v>246</v>
      </c>
      <c r="H23" s="32"/>
      <c r="I23" s="32"/>
    </row>
    <row r="24" spans="1:9" x14ac:dyDescent="0.25">
      <c r="A24" s="28" t="s">
        <v>3</v>
      </c>
      <c r="B24" s="32" t="s">
        <v>247</v>
      </c>
      <c r="C24" s="28" t="s">
        <v>110</v>
      </c>
      <c r="F24" s="35">
        <f t="shared" si="0"/>
        <v>9</v>
      </c>
      <c r="G24" s="42" t="s">
        <v>247</v>
      </c>
      <c r="H24" s="32"/>
      <c r="I24" s="32"/>
    </row>
    <row r="25" spans="1:9" x14ac:dyDescent="0.25">
      <c r="A25" s="28" t="s">
        <v>3</v>
      </c>
      <c r="B25" s="32" t="s">
        <v>272</v>
      </c>
      <c r="C25" s="28" t="s">
        <v>96</v>
      </c>
      <c r="F25" s="35">
        <f t="shared" si="0"/>
        <v>9</v>
      </c>
      <c r="G25" s="42" t="s">
        <v>272</v>
      </c>
      <c r="H25" s="32"/>
      <c r="I25" s="32"/>
    </row>
    <row r="26" spans="1:9" x14ac:dyDescent="0.25">
      <c r="A26" s="28" t="s">
        <v>3</v>
      </c>
      <c r="B26" s="30" t="s">
        <v>250</v>
      </c>
      <c r="C26" s="28" t="s">
        <v>284</v>
      </c>
      <c r="F26" s="35">
        <f t="shared" si="0"/>
        <v>9</v>
      </c>
      <c r="G26" s="40" t="s">
        <v>250</v>
      </c>
      <c r="H26" s="30"/>
      <c r="I26" s="32"/>
    </row>
    <row r="27" spans="1:9" x14ac:dyDescent="0.25">
      <c r="A27" s="28" t="s">
        <v>73</v>
      </c>
      <c r="B27" s="30" t="s">
        <v>253</v>
      </c>
      <c r="C27" s="28" t="s">
        <v>82</v>
      </c>
      <c r="F27" s="35">
        <f t="shared" si="0"/>
        <v>36</v>
      </c>
      <c r="G27" s="40" t="s">
        <v>253</v>
      </c>
      <c r="H27" s="30"/>
      <c r="I27" s="32"/>
    </row>
    <row r="28" spans="1:9" x14ac:dyDescent="0.25">
      <c r="A28" s="28" t="s">
        <v>80</v>
      </c>
      <c r="B28" s="30" t="s">
        <v>254</v>
      </c>
      <c r="C28" s="28" t="s">
        <v>79</v>
      </c>
      <c r="F28" s="35">
        <f t="shared" si="0"/>
        <v>45</v>
      </c>
      <c r="G28" s="40" t="s">
        <v>254</v>
      </c>
      <c r="H28" s="30"/>
      <c r="I28" s="32"/>
    </row>
    <row r="29" spans="1:9" x14ac:dyDescent="0.25">
      <c r="A29" s="28" t="s">
        <v>16</v>
      </c>
      <c r="B29" s="32" t="s">
        <v>255</v>
      </c>
      <c r="C29" s="28" t="s">
        <v>77</v>
      </c>
      <c r="F29" s="35">
        <f t="shared" si="0"/>
        <v>27</v>
      </c>
      <c r="G29" s="42" t="s">
        <v>255</v>
      </c>
      <c r="H29" s="32"/>
      <c r="I29" s="32"/>
    </row>
    <row r="30" spans="1:9" x14ac:dyDescent="0.25">
      <c r="A30" s="28" t="s">
        <v>73</v>
      </c>
      <c r="B30" s="30" t="s">
        <v>256</v>
      </c>
      <c r="C30" s="28" t="s">
        <v>75</v>
      </c>
      <c r="F30" s="35">
        <f t="shared" si="0"/>
        <v>36</v>
      </c>
      <c r="G30" s="40" t="s">
        <v>256</v>
      </c>
      <c r="H30" s="30"/>
      <c r="I30" s="32"/>
    </row>
    <row r="31" spans="1:9" x14ac:dyDescent="0.25">
      <c r="A31" s="28" t="s">
        <v>73</v>
      </c>
      <c r="B31" s="30" t="s">
        <v>258</v>
      </c>
      <c r="C31" s="28" t="s">
        <v>72</v>
      </c>
      <c r="F31" s="35">
        <f t="shared" si="0"/>
        <v>36</v>
      </c>
      <c r="G31" s="40" t="s">
        <v>258</v>
      </c>
      <c r="H31" s="30"/>
      <c r="I31" s="32"/>
    </row>
    <row r="32" spans="1:9" x14ac:dyDescent="0.25">
      <c r="A32" s="28" t="s">
        <v>3</v>
      </c>
      <c r="B32" s="30" t="s">
        <v>259</v>
      </c>
      <c r="C32" s="28" t="s">
        <v>70</v>
      </c>
      <c r="F32" s="35">
        <f t="shared" si="0"/>
        <v>9</v>
      </c>
      <c r="G32" s="40" t="s">
        <v>259</v>
      </c>
      <c r="H32" s="30"/>
      <c r="I32" s="32"/>
    </row>
    <row r="33" spans="1:9" x14ac:dyDescent="0.25">
      <c r="A33" s="28" t="s">
        <v>66</v>
      </c>
      <c r="B33" s="30" t="s">
        <v>260</v>
      </c>
      <c r="C33" s="28" t="s">
        <v>261</v>
      </c>
      <c r="F33" s="35">
        <f t="shared" si="0"/>
        <v>63</v>
      </c>
      <c r="G33" s="40" t="s">
        <v>260</v>
      </c>
      <c r="H33" s="30"/>
      <c r="I33" s="32"/>
    </row>
    <row r="34" spans="1:9" x14ac:dyDescent="0.25">
      <c r="A34" s="28" t="s">
        <v>25</v>
      </c>
      <c r="B34" s="30" t="s">
        <v>257</v>
      </c>
      <c r="C34" s="28" t="s">
        <v>64</v>
      </c>
      <c r="F34" s="35">
        <f t="shared" si="0"/>
        <v>18</v>
      </c>
      <c r="G34" s="40" t="s">
        <v>257</v>
      </c>
      <c r="H34" s="30"/>
      <c r="I34" s="32"/>
    </row>
    <row r="35" spans="1:9" x14ac:dyDescent="0.25">
      <c r="A35" s="28" t="s">
        <v>62</v>
      </c>
      <c r="B35" s="30" t="s">
        <v>262</v>
      </c>
      <c r="C35" s="28" t="s">
        <v>61</v>
      </c>
      <c r="F35" s="35">
        <f t="shared" ref="F35:F55" si="1">A35*E$1</f>
        <v>108</v>
      </c>
      <c r="G35" s="40" t="s">
        <v>262</v>
      </c>
      <c r="H35" s="30"/>
      <c r="I35" s="32"/>
    </row>
    <row r="36" spans="1:9" x14ac:dyDescent="0.25">
      <c r="A36" s="28" t="s">
        <v>3</v>
      </c>
      <c r="B36" s="30" t="s">
        <v>252</v>
      </c>
      <c r="C36" s="28" t="s">
        <v>251</v>
      </c>
      <c r="F36" s="35">
        <f t="shared" si="1"/>
        <v>9</v>
      </c>
      <c r="G36" s="40" t="s">
        <v>252</v>
      </c>
      <c r="H36" s="30"/>
      <c r="I36" s="32"/>
    </row>
    <row r="37" spans="1:9" x14ac:dyDescent="0.25">
      <c r="A37" s="28" t="s">
        <v>3</v>
      </c>
      <c r="B37" t="s">
        <v>316</v>
      </c>
      <c r="C37" s="28" t="s">
        <v>315</v>
      </c>
      <c r="F37" s="35">
        <f t="shared" si="1"/>
        <v>9</v>
      </c>
      <c r="G37" s="42" t="s">
        <v>316</v>
      </c>
      <c r="H37" s="33"/>
      <c r="I37" s="32"/>
    </row>
    <row r="38" spans="1:9" x14ac:dyDescent="0.25">
      <c r="A38" s="28" t="s">
        <v>3</v>
      </c>
      <c r="B38" s="23" t="s">
        <v>317</v>
      </c>
      <c r="C38" s="28" t="s">
        <v>311</v>
      </c>
      <c r="F38" s="35">
        <f t="shared" si="1"/>
        <v>9</v>
      </c>
      <c r="G38" s="42" t="s">
        <v>317</v>
      </c>
      <c r="H38" s="30"/>
      <c r="I38" s="32"/>
    </row>
    <row r="39" spans="1:9" x14ac:dyDescent="0.25">
      <c r="A39" s="28" t="s">
        <v>3</v>
      </c>
      <c r="B39" s="30" t="s">
        <v>318</v>
      </c>
      <c r="C39" s="28" t="s">
        <v>313</v>
      </c>
      <c r="F39" s="35">
        <f t="shared" si="1"/>
        <v>9</v>
      </c>
      <c r="G39" s="73" t="s">
        <v>318</v>
      </c>
      <c r="H39" s="30"/>
      <c r="I39" s="32"/>
    </row>
    <row r="40" spans="1:9" x14ac:dyDescent="0.25">
      <c r="A40" s="28" t="s">
        <v>3</v>
      </c>
      <c r="B40" s="30" t="s">
        <v>319</v>
      </c>
      <c r="C40" s="28" t="s">
        <v>314</v>
      </c>
      <c r="F40" s="35">
        <f t="shared" si="1"/>
        <v>9</v>
      </c>
      <c r="G40" s="40" t="s">
        <v>319</v>
      </c>
      <c r="H40" s="30"/>
      <c r="I40" s="32"/>
    </row>
    <row r="41" spans="1:9" x14ac:dyDescent="0.25">
      <c r="A41" s="28" t="s">
        <v>50</v>
      </c>
      <c r="B41" s="30" t="s">
        <v>264</v>
      </c>
      <c r="C41" s="28" t="s">
        <v>49</v>
      </c>
      <c r="F41" s="35">
        <f t="shared" si="1"/>
        <v>72</v>
      </c>
      <c r="G41" s="40" t="s">
        <v>264</v>
      </c>
      <c r="H41" s="30"/>
      <c r="I41" s="32"/>
    </row>
    <row r="42" spans="1:9" x14ac:dyDescent="0.25">
      <c r="A42" s="28" t="s">
        <v>3</v>
      </c>
      <c r="B42" s="30" t="s">
        <v>265</v>
      </c>
      <c r="C42" s="28" t="s">
        <v>46</v>
      </c>
      <c r="F42" s="35">
        <f t="shared" si="1"/>
        <v>9</v>
      </c>
      <c r="G42" s="40" t="s">
        <v>265</v>
      </c>
      <c r="H42" s="30"/>
      <c r="I42" s="32"/>
    </row>
    <row r="43" spans="1:9" x14ac:dyDescent="0.25">
      <c r="A43" s="28" t="s">
        <v>3</v>
      </c>
      <c r="B43" s="30" t="s">
        <v>266</v>
      </c>
      <c r="C43" s="28" t="s">
        <v>44</v>
      </c>
      <c r="F43" s="35">
        <f t="shared" si="1"/>
        <v>9</v>
      </c>
      <c r="G43" s="40" t="s">
        <v>266</v>
      </c>
      <c r="H43" s="30"/>
      <c r="I43" s="32"/>
    </row>
    <row r="44" spans="1:9" x14ac:dyDescent="0.25">
      <c r="A44" s="28" t="s">
        <v>25</v>
      </c>
      <c r="B44" s="30" t="s">
        <v>267</v>
      </c>
      <c r="C44" s="28" t="s">
        <v>43</v>
      </c>
      <c r="F44" s="35">
        <f t="shared" si="1"/>
        <v>18</v>
      </c>
      <c r="G44" s="40" t="s">
        <v>267</v>
      </c>
      <c r="H44" s="30"/>
      <c r="I44" s="32"/>
    </row>
    <row r="45" spans="1:9" x14ac:dyDescent="0.25">
      <c r="A45" s="28" t="s">
        <v>25</v>
      </c>
      <c r="B45" s="34" t="s">
        <v>268</v>
      </c>
      <c r="C45" s="28" t="s">
        <v>41</v>
      </c>
      <c r="F45" s="35">
        <f t="shared" si="1"/>
        <v>18</v>
      </c>
      <c r="G45" s="43" t="s">
        <v>268</v>
      </c>
      <c r="H45" s="34"/>
      <c r="I45" s="32"/>
    </row>
    <row r="46" spans="1:9" x14ac:dyDescent="0.25">
      <c r="A46" s="28" t="s">
        <v>3</v>
      </c>
      <c r="B46" s="32" t="s">
        <v>276</v>
      </c>
      <c r="C46" s="28" t="s">
        <v>37</v>
      </c>
      <c r="F46" s="35">
        <f t="shared" si="1"/>
        <v>9</v>
      </c>
      <c r="G46" s="42" t="s">
        <v>276</v>
      </c>
      <c r="H46" s="30"/>
      <c r="I46" s="32"/>
    </row>
    <row r="47" spans="1:9" x14ac:dyDescent="0.25">
      <c r="A47" s="28" t="s">
        <v>3</v>
      </c>
      <c r="B47" s="30" t="s">
        <v>219</v>
      </c>
      <c r="C47" s="28" t="s">
        <v>31</v>
      </c>
      <c r="F47" s="35">
        <f t="shared" si="1"/>
        <v>9</v>
      </c>
      <c r="G47" s="40" t="s">
        <v>219</v>
      </c>
      <c r="H47" s="30"/>
      <c r="I47" s="32"/>
    </row>
    <row r="48" spans="1:9" x14ac:dyDescent="0.25">
      <c r="A48" s="28" t="s">
        <v>3</v>
      </c>
      <c r="B48" s="29" t="s">
        <v>217</v>
      </c>
      <c r="C48" s="28" t="s">
        <v>22</v>
      </c>
      <c r="F48" s="35">
        <f t="shared" si="1"/>
        <v>9</v>
      </c>
      <c r="G48" s="39" t="s">
        <v>217</v>
      </c>
      <c r="H48" s="29"/>
      <c r="I48" s="32"/>
    </row>
    <row r="49" spans="1:9" x14ac:dyDescent="0.25">
      <c r="A49" s="28" t="s">
        <v>3</v>
      </c>
      <c r="B49" s="29" t="s">
        <v>220</v>
      </c>
      <c r="C49" s="28" t="s">
        <v>19</v>
      </c>
      <c r="F49" s="35">
        <f t="shared" si="1"/>
        <v>9</v>
      </c>
      <c r="G49" s="39" t="s">
        <v>220</v>
      </c>
      <c r="H49" s="29"/>
      <c r="I49" s="32"/>
    </row>
    <row r="50" spans="1:9" x14ac:dyDescent="0.25">
      <c r="A50" s="28" t="s">
        <v>16</v>
      </c>
      <c r="B50" s="30" t="s">
        <v>218</v>
      </c>
      <c r="C50" s="28" t="s">
        <v>15</v>
      </c>
      <c r="F50" s="35">
        <f t="shared" si="1"/>
        <v>27</v>
      </c>
      <c r="G50" s="40" t="s">
        <v>218</v>
      </c>
      <c r="H50" s="30"/>
      <c r="I50" s="32"/>
    </row>
    <row r="51" spans="1:9" x14ac:dyDescent="0.25">
      <c r="A51" s="28" t="s">
        <v>3</v>
      </c>
      <c r="B51" s="30" t="s">
        <v>225</v>
      </c>
      <c r="C51" s="28" t="s">
        <v>12</v>
      </c>
      <c r="F51" s="35">
        <f t="shared" si="1"/>
        <v>9</v>
      </c>
      <c r="G51" s="40" t="s">
        <v>225</v>
      </c>
      <c r="H51" s="30"/>
      <c r="I51" s="32"/>
    </row>
    <row r="52" spans="1:9" x14ac:dyDescent="0.25">
      <c r="A52" s="28" t="s">
        <v>3</v>
      </c>
      <c r="B52" s="29" t="s">
        <v>221</v>
      </c>
      <c r="C52" s="28" t="s">
        <v>9</v>
      </c>
      <c r="F52" s="35">
        <f t="shared" si="1"/>
        <v>9</v>
      </c>
      <c r="G52" s="39" t="s">
        <v>221</v>
      </c>
      <c r="H52" s="29"/>
      <c r="I52" s="32"/>
    </row>
    <row r="53" spans="1:9" x14ac:dyDescent="0.25">
      <c r="A53" s="28" t="s">
        <v>3</v>
      </c>
      <c r="B53" s="30" t="s">
        <v>224</v>
      </c>
      <c r="C53" s="28" t="s">
        <v>5</v>
      </c>
      <c r="F53" s="35">
        <f t="shared" si="1"/>
        <v>9</v>
      </c>
      <c r="G53" s="40" t="s">
        <v>224</v>
      </c>
      <c r="H53" s="30"/>
      <c r="I53" s="32"/>
    </row>
    <row r="54" spans="1:9" x14ac:dyDescent="0.25">
      <c r="A54" s="28" t="s">
        <v>3</v>
      </c>
      <c r="B54" s="30" t="s">
        <v>223</v>
      </c>
      <c r="C54" s="28" t="s">
        <v>222</v>
      </c>
      <c r="F54" s="35">
        <f t="shared" si="1"/>
        <v>9</v>
      </c>
      <c r="G54" s="40" t="s">
        <v>223</v>
      </c>
      <c r="H54" s="30"/>
      <c r="I54" s="32"/>
    </row>
    <row r="55" spans="1:9" x14ac:dyDescent="0.25">
      <c r="A55" s="50">
        <v>5</v>
      </c>
      <c r="B55" s="61" t="s">
        <v>288</v>
      </c>
      <c r="C55" s="49" t="s">
        <v>286</v>
      </c>
      <c r="F55" s="35">
        <f t="shared" si="1"/>
        <v>45</v>
      </c>
      <c r="G55" s="40" t="s">
        <v>288</v>
      </c>
      <c r="H55" s="30"/>
      <c r="I55" s="32"/>
    </row>
    <row r="56" spans="1:9" x14ac:dyDescent="0.25">
      <c r="A56" s="28" t="s">
        <v>16</v>
      </c>
      <c r="B56" s="30" t="s">
        <v>303</v>
      </c>
      <c r="C56" s="28" t="s">
        <v>302</v>
      </c>
      <c r="F56" s="35">
        <v>2</v>
      </c>
      <c r="G56" s="40" t="s">
        <v>303</v>
      </c>
      <c r="H56" s="30"/>
      <c r="I56" s="32"/>
    </row>
    <row r="57" spans="1:9" x14ac:dyDescent="0.25">
      <c r="A57" s="30">
        <v>1</v>
      </c>
      <c r="B57" s="30" t="s">
        <v>293</v>
      </c>
      <c r="C57" s="71" t="s">
        <v>307</v>
      </c>
      <c r="F57" s="35">
        <f t="shared" ref="F57:F63" si="2">A57*E$1</f>
        <v>9</v>
      </c>
      <c r="G57" s="40" t="s">
        <v>293</v>
      </c>
      <c r="H57" s="30"/>
      <c r="I57" s="32"/>
    </row>
    <row r="58" spans="1:9" x14ac:dyDescent="0.25">
      <c r="A58" s="28" t="s">
        <v>25</v>
      </c>
      <c r="B58" t="s">
        <v>306</v>
      </c>
      <c r="C58" s="28" t="s">
        <v>305</v>
      </c>
      <c r="F58" s="35">
        <f t="shared" si="2"/>
        <v>18</v>
      </c>
      <c r="G58" s="41" t="s">
        <v>306</v>
      </c>
      <c r="H58" s="30"/>
      <c r="I58" s="32"/>
    </row>
    <row r="59" spans="1:9" x14ac:dyDescent="0.25">
      <c r="A59" s="28" t="s">
        <v>62</v>
      </c>
      <c r="B59" s="30" t="s">
        <v>270</v>
      </c>
      <c r="C59" s="28" t="s">
        <v>86</v>
      </c>
      <c r="F59" s="35">
        <f t="shared" si="2"/>
        <v>108</v>
      </c>
      <c r="G59" s="32"/>
      <c r="H59" s="42" t="s">
        <v>201</v>
      </c>
      <c r="I59" s="44" t="s">
        <v>270</v>
      </c>
    </row>
    <row r="60" spans="1:9" x14ac:dyDescent="0.25">
      <c r="A60" s="28" t="s">
        <v>73</v>
      </c>
      <c r="B60" s="32" t="s">
        <v>205</v>
      </c>
      <c r="C60" s="28" t="s">
        <v>278</v>
      </c>
      <c r="F60" s="35">
        <f t="shared" si="2"/>
        <v>36</v>
      </c>
      <c r="G60" s="32"/>
      <c r="H60" s="42" t="s">
        <v>206</v>
      </c>
      <c r="I60" s="44" t="s">
        <v>205</v>
      </c>
    </row>
    <row r="61" spans="1:9" x14ac:dyDescent="0.25">
      <c r="A61" s="28" t="s">
        <v>169</v>
      </c>
      <c r="B61" s="32" t="s">
        <v>203</v>
      </c>
      <c r="C61" s="28" t="s">
        <v>279</v>
      </c>
      <c r="F61" s="35">
        <f t="shared" si="2"/>
        <v>135</v>
      </c>
      <c r="G61" s="32"/>
      <c r="H61" s="42" t="s">
        <v>204</v>
      </c>
      <c r="I61" s="44" t="s">
        <v>203</v>
      </c>
    </row>
    <row r="62" spans="1:9" x14ac:dyDescent="0.25">
      <c r="A62" s="28" t="s">
        <v>16</v>
      </c>
      <c r="B62" s="30" t="s">
        <v>263</v>
      </c>
      <c r="C62" s="28" t="s">
        <v>280</v>
      </c>
      <c r="F62" s="35">
        <f t="shared" si="2"/>
        <v>27</v>
      </c>
      <c r="G62" s="32"/>
      <c r="H62" s="40" t="s">
        <v>263</v>
      </c>
      <c r="I62" s="40" t="s">
        <v>263</v>
      </c>
    </row>
    <row r="63" spans="1:9" x14ac:dyDescent="0.25">
      <c r="A63" s="28" t="s">
        <v>16</v>
      </c>
      <c r="B63" s="30" t="s">
        <v>287</v>
      </c>
      <c r="C63" s="28" t="s">
        <v>277</v>
      </c>
      <c r="F63" s="35">
        <f t="shared" si="2"/>
        <v>27</v>
      </c>
      <c r="G63" s="32"/>
      <c r="H63" s="41" t="s">
        <v>308</v>
      </c>
      <c r="I63" s="44" t="s">
        <v>308</v>
      </c>
    </row>
  </sheetData>
  <mergeCells count="1">
    <mergeCell ref="D2:D4"/>
  </mergeCells>
  <pageMargins left="0.7" right="0.7" top="0.78740157499999996" bottom="0.78740157499999996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plus">
                <anchor moveWithCells="1" sizeWithCells="1">
                  <from>
                    <xdr:col>3</xdr:col>
                    <xdr:colOff>0</xdr:colOff>
                    <xdr:row>1</xdr:row>
                    <xdr:rowOff>19050</xdr:rowOff>
                  </from>
                  <to>
                    <xdr:col>3</xdr:col>
                    <xdr:colOff>1019175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inus">
                <anchor moveWithCells="1" sizeWithCells="1">
                  <from>
                    <xdr:col>4</xdr:col>
                    <xdr:colOff>9525</xdr:colOff>
                    <xdr:row>1</xdr:row>
                    <xdr:rowOff>19050</xdr:rowOff>
                  </from>
                  <to>
                    <xdr:col>4</xdr:col>
                    <xdr:colOff>733425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5A09A0-6E8A-43C8-9322-8613F56A4D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Bom mit Bestellnummern</vt:lpstr>
      <vt:lpstr>Warenkorb Digikey (200V 300A)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AUKTORA | Jonas Krieger</dc:creator>
  <cp:lastModifiedBy>AUKTORA | Jonas Krieger</cp:lastModifiedBy>
  <dcterms:created xsi:type="dcterms:W3CDTF">2019-04-29T14:07:39Z</dcterms:created>
  <dcterms:modified xsi:type="dcterms:W3CDTF">2019-05-06T13:21:06Z</dcterms:modified>
</cp:coreProperties>
</file>